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MyProject\excel\"/>
    </mc:Choice>
  </mc:AlternateContent>
  <bookViews>
    <workbookView xWindow="0" yWindow="0" windowWidth="28800" windowHeight="12240"/>
  </bookViews>
  <sheets>
    <sheet name="Bullet" sheetId="1" r:id="rId1"/>
    <sheet name="BulletType" sheetId="2" r:id="rId2"/>
    <sheet name="BulletColor" sheetId="3" r:id="rId3"/>
  </sheets>
  <calcPr calcId="162913"/>
  <fileRecoveryPr repairLoad="1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E29" i="2"/>
  <c r="E28" i="2"/>
  <c r="G753" i="1"/>
  <c r="I753" i="1"/>
  <c r="J753" i="1"/>
  <c r="K753" i="1"/>
  <c r="L753" i="1"/>
  <c r="M753" i="1"/>
  <c r="B753" i="1"/>
  <c r="Q753" i="1"/>
  <c r="H753" i="1" s="1"/>
  <c r="F752" i="1"/>
  <c r="G752" i="1"/>
  <c r="I752" i="1"/>
  <c r="J752" i="1"/>
  <c r="K752" i="1"/>
  <c r="L752" i="1"/>
  <c r="M752" i="1"/>
  <c r="N752" i="1"/>
  <c r="B752" i="1"/>
  <c r="Q752" i="1"/>
  <c r="H752" i="1" s="1"/>
  <c r="G751" i="1"/>
  <c r="I751" i="1"/>
  <c r="J751" i="1"/>
  <c r="K751" i="1"/>
  <c r="L751" i="1"/>
  <c r="M751" i="1"/>
  <c r="B751" i="1"/>
  <c r="Q751" i="1"/>
  <c r="H751" i="1" s="1"/>
  <c r="G750" i="1"/>
  <c r="I750" i="1"/>
  <c r="J750" i="1"/>
  <c r="K750" i="1"/>
  <c r="L750" i="1"/>
  <c r="M750" i="1"/>
  <c r="B750" i="1"/>
  <c r="Q750" i="1"/>
  <c r="H750" i="1" s="1"/>
  <c r="G749" i="1"/>
  <c r="I749" i="1"/>
  <c r="J749" i="1"/>
  <c r="K749" i="1"/>
  <c r="L749" i="1"/>
  <c r="M749" i="1"/>
  <c r="B749" i="1"/>
  <c r="Q749" i="1"/>
  <c r="H749" i="1" s="1"/>
  <c r="F748" i="1"/>
  <c r="G748" i="1"/>
  <c r="I748" i="1"/>
  <c r="J748" i="1"/>
  <c r="K748" i="1"/>
  <c r="L748" i="1"/>
  <c r="M748" i="1"/>
  <c r="N748" i="1"/>
  <c r="B748" i="1"/>
  <c r="Q748" i="1"/>
  <c r="H748" i="1" s="1"/>
  <c r="G747" i="1"/>
  <c r="I747" i="1"/>
  <c r="J747" i="1"/>
  <c r="K747" i="1"/>
  <c r="L747" i="1"/>
  <c r="M747" i="1"/>
  <c r="B747" i="1"/>
  <c r="Q747" i="1"/>
  <c r="H747" i="1" s="1"/>
  <c r="F746" i="1"/>
  <c r="G746" i="1"/>
  <c r="I746" i="1"/>
  <c r="J746" i="1"/>
  <c r="K746" i="1"/>
  <c r="L746" i="1"/>
  <c r="M746" i="1"/>
  <c r="N746" i="1"/>
  <c r="B746" i="1"/>
  <c r="Q746" i="1"/>
  <c r="H746" i="1" s="1"/>
  <c r="F745" i="1"/>
  <c r="G745" i="1"/>
  <c r="I745" i="1"/>
  <c r="J745" i="1"/>
  <c r="K745" i="1"/>
  <c r="L745" i="1"/>
  <c r="M745" i="1"/>
  <c r="N745" i="1"/>
  <c r="B745" i="1"/>
  <c r="Q745" i="1"/>
  <c r="H745" i="1" s="1"/>
  <c r="G744" i="1"/>
  <c r="I744" i="1"/>
  <c r="J744" i="1"/>
  <c r="K744" i="1"/>
  <c r="L744" i="1"/>
  <c r="M744" i="1"/>
  <c r="B744" i="1"/>
  <c r="Q744" i="1"/>
  <c r="H744" i="1" s="1"/>
  <c r="G743" i="1"/>
  <c r="I743" i="1"/>
  <c r="J743" i="1"/>
  <c r="K743" i="1"/>
  <c r="L743" i="1"/>
  <c r="M743" i="1"/>
  <c r="B743" i="1"/>
  <c r="Q743" i="1"/>
  <c r="H743" i="1" s="1"/>
  <c r="B742" i="1"/>
  <c r="G742" i="1"/>
  <c r="I742" i="1"/>
  <c r="J742" i="1"/>
  <c r="K742" i="1"/>
  <c r="L742" i="1"/>
  <c r="M742" i="1"/>
  <c r="F742" i="1"/>
  <c r="Q742" i="1"/>
  <c r="H742" i="1" s="1"/>
  <c r="F741" i="1"/>
  <c r="G741" i="1"/>
  <c r="I741" i="1"/>
  <c r="J741" i="1"/>
  <c r="K741" i="1"/>
  <c r="L741" i="1"/>
  <c r="M741" i="1"/>
  <c r="N741" i="1"/>
  <c r="B741" i="1"/>
  <c r="Q741" i="1"/>
  <c r="H741" i="1" s="1"/>
  <c r="G740" i="1"/>
  <c r="I740" i="1"/>
  <c r="J740" i="1"/>
  <c r="K740" i="1"/>
  <c r="L740" i="1"/>
  <c r="M740" i="1"/>
  <c r="B740" i="1"/>
  <c r="Q740" i="1"/>
  <c r="H740" i="1" s="1"/>
  <c r="F739" i="1"/>
  <c r="G739" i="1"/>
  <c r="I739" i="1"/>
  <c r="J739" i="1"/>
  <c r="K739" i="1"/>
  <c r="L739" i="1"/>
  <c r="M739" i="1"/>
  <c r="N739" i="1"/>
  <c r="B739" i="1"/>
  <c r="Q739" i="1"/>
  <c r="H739" i="1" s="1"/>
  <c r="G738" i="1"/>
  <c r="I738" i="1"/>
  <c r="J738" i="1"/>
  <c r="K738" i="1"/>
  <c r="L738" i="1"/>
  <c r="M738" i="1"/>
  <c r="B738" i="1"/>
  <c r="Q738" i="1"/>
  <c r="H738" i="1" s="1"/>
  <c r="G737" i="1"/>
  <c r="I737" i="1"/>
  <c r="J737" i="1"/>
  <c r="K737" i="1"/>
  <c r="L737" i="1"/>
  <c r="M737" i="1"/>
  <c r="B737" i="1"/>
  <c r="Q737" i="1"/>
  <c r="H737" i="1" s="1"/>
  <c r="F736" i="1"/>
  <c r="G736" i="1"/>
  <c r="I736" i="1"/>
  <c r="J736" i="1"/>
  <c r="K736" i="1"/>
  <c r="L736" i="1"/>
  <c r="M736" i="1"/>
  <c r="N736" i="1"/>
  <c r="B736" i="1"/>
  <c r="Q736" i="1"/>
  <c r="H736" i="1" s="1"/>
  <c r="G735" i="1"/>
  <c r="I735" i="1"/>
  <c r="J735" i="1"/>
  <c r="K735" i="1"/>
  <c r="L735" i="1"/>
  <c r="M735" i="1"/>
  <c r="B735" i="1"/>
  <c r="Q735" i="1"/>
  <c r="H735" i="1" s="1"/>
  <c r="G734" i="1"/>
  <c r="I734" i="1"/>
  <c r="J734" i="1"/>
  <c r="K734" i="1"/>
  <c r="L734" i="1"/>
  <c r="M734" i="1"/>
  <c r="B734" i="1"/>
  <c r="Q734" i="1"/>
  <c r="H734" i="1" s="1"/>
  <c r="G733" i="1"/>
  <c r="I733" i="1"/>
  <c r="J733" i="1"/>
  <c r="K733" i="1"/>
  <c r="L733" i="1"/>
  <c r="M733" i="1"/>
  <c r="B733" i="1"/>
  <c r="Q733" i="1"/>
  <c r="H733" i="1" s="1"/>
  <c r="F732" i="1"/>
  <c r="G732" i="1"/>
  <c r="I732" i="1"/>
  <c r="J732" i="1"/>
  <c r="K732" i="1"/>
  <c r="L732" i="1"/>
  <c r="M732" i="1"/>
  <c r="N732" i="1"/>
  <c r="B732" i="1"/>
  <c r="Q732" i="1"/>
  <c r="H732" i="1" s="1"/>
  <c r="G731" i="1"/>
  <c r="I731" i="1"/>
  <c r="J731" i="1"/>
  <c r="K731" i="1"/>
  <c r="L731" i="1"/>
  <c r="M731" i="1"/>
  <c r="B731" i="1"/>
  <c r="Q731" i="1"/>
  <c r="H731" i="1" s="1"/>
  <c r="F730" i="1"/>
  <c r="G730" i="1"/>
  <c r="I730" i="1"/>
  <c r="J730" i="1"/>
  <c r="K730" i="1"/>
  <c r="L730" i="1"/>
  <c r="M730" i="1"/>
  <c r="N730" i="1"/>
  <c r="B730" i="1"/>
  <c r="Q730" i="1"/>
  <c r="H730" i="1" s="1"/>
  <c r="G729" i="1"/>
  <c r="I729" i="1"/>
  <c r="J729" i="1"/>
  <c r="K729" i="1"/>
  <c r="L729" i="1"/>
  <c r="M729" i="1"/>
  <c r="B729" i="1"/>
  <c r="Q729" i="1"/>
  <c r="H729" i="1" s="1"/>
  <c r="G728" i="1"/>
  <c r="I728" i="1"/>
  <c r="J728" i="1"/>
  <c r="K728" i="1"/>
  <c r="L728" i="1"/>
  <c r="M728" i="1"/>
  <c r="B728" i="1"/>
  <c r="Q728" i="1"/>
  <c r="H728" i="1" s="1"/>
  <c r="G727" i="1"/>
  <c r="I727" i="1"/>
  <c r="J727" i="1"/>
  <c r="K727" i="1"/>
  <c r="L727" i="1"/>
  <c r="M727" i="1"/>
  <c r="B727" i="1"/>
  <c r="Q727" i="1"/>
  <c r="H727" i="1" s="1"/>
  <c r="G726" i="1"/>
  <c r="I726" i="1"/>
  <c r="J726" i="1"/>
  <c r="K726" i="1"/>
  <c r="L726" i="1"/>
  <c r="M726" i="1"/>
  <c r="B726" i="1"/>
  <c r="Q726" i="1"/>
  <c r="H726" i="1" s="1"/>
  <c r="G725" i="1"/>
  <c r="I725" i="1"/>
  <c r="J725" i="1"/>
  <c r="K725" i="1"/>
  <c r="L725" i="1"/>
  <c r="M725" i="1"/>
  <c r="B725" i="1"/>
  <c r="Q725" i="1"/>
  <c r="H725" i="1" s="1"/>
  <c r="G724" i="1"/>
  <c r="I724" i="1"/>
  <c r="J724" i="1"/>
  <c r="K724" i="1"/>
  <c r="L724" i="1"/>
  <c r="M724" i="1"/>
  <c r="B724" i="1"/>
  <c r="Q724" i="1"/>
  <c r="H724" i="1" s="1"/>
  <c r="G723" i="1"/>
  <c r="I723" i="1"/>
  <c r="J723" i="1"/>
  <c r="K723" i="1"/>
  <c r="L723" i="1"/>
  <c r="M723" i="1"/>
  <c r="B723" i="1"/>
  <c r="Q723" i="1"/>
  <c r="H723" i="1" s="1"/>
  <c r="G722" i="1"/>
  <c r="I722" i="1"/>
  <c r="J722" i="1"/>
  <c r="K722" i="1"/>
  <c r="L722" i="1"/>
  <c r="M722" i="1"/>
  <c r="B722" i="1"/>
  <c r="Q722" i="1"/>
  <c r="H722" i="1" s="1"/>
  <c r="F721" i="1"/>
  <c r="G721" i="1"/>
  <c r="I721" i="1"/>
  <c r="J721" i="1"/>
  <c r="K721" i="1"/>
  <c r="L721" i="1"/>
  <c r="M721" i="1"/>
  <c r="N721" i="1"/>
  <c r="B721" i="1"/>
  <c r="Q721" i="1"/>
  <c r="H721" i="1" s="1"/>
  <c r="G720" i="1"/>
  <c r="I720" i="1"/>
  <c r="J720" i="1"/>
  <c r="K720" i="1"/>
  <c r="L720" i="1"/>
  <c r="M720" i="1"/>
  <c r="B720" i="1"/>
  <c r="Q720" i="1"/>
  <c r="H720" i="1" s="1"/>
  <c r="G719" i="1"/>
  <c r="I719" i="1"/>
  <c r="J719" i="1"/>
  <c r="K719" i="1"/>
  <c r="L719" i="1"/>
  <c r="M719" i="1"/>
  <c r="B719" i="1"/>
  <c r="Q719" i="1"/>
  <c r="H719" i="1" s="1"/>
  <c r="F718" i="1"/>
  <c r="G718" i="1"/>
  <c r="I718" i="1"/>
  <c r="J718" i="1"/>
  <c r="K718" i="1"/>
  <c r="L718" i="1"/>
  <c r="M718" i="1"/>
  <c r="N718" i="1"/>
  <c r="B718" i="1"/>
  <c r="Q718" i="1"/>
  <c r="H718" i="1" s="1"/>
  <c r="B717" i="1"/>
  <c r="G717" i="1"/>
  <c r="I717" i="1"/>
  <c r="J717" i="1"/>
  <c r="K717" i="1"/>
  <c r="L717" i="1"/>
  <c r="M717" i="1"/>
  <c r="F717" i="1"/>
  <c r="Q717" i="1"/>
  <c r="H717" i="1" s="1"/>
  <c r="F716" i="1"/>
  <c r="G716" i="1"/>
  <c r="I716" i="1"/>
  <c r="J716" i="1"/>
  <c r="K716" i="1"/>
  <c r="L716" i="1"/>
  <c r="M716" i="1"/>
  <c r="N716" i="1"/>
  <c r="B716" i="1"/>
  <c r="Q716" i="1"/>
  <c r="H716" i="1" s="1"/>
  <c r="G715" i="1"/>
  <c r="I715" i="1"/>
  <c r="J715" i="1"/>
  <c r="K715" i="1"/>
  <c r="L715" i="1"/>
  <c r="M715" i="1"/>
  <c r="B715" i="1"/>
  <c r="Q715" i="1"/>
  <c r="H715" i="1" s="1"/>
  <c r="G714" i="1"/>
  <c r="I714" i="1"/>
  <c r="J714" i="1"/>
  <c r="K714" i="1"/>
  <c r="L714" i="1"/>
  <c r="M714" i="1"/>
  <c r="B714" i="1"/>
  <c r="Q714" i="1"/>
  <c r="H714" i="1" s="1"/>
  <c r="G713" i="1"/>
  <c r="I713" i="1"/>
  <c r="J713" i="1"/>
  <c r="K713" i="1"/>
  <c r="L713" i="1"/>
  <c r="M713" i="1"/>
  <c r="B713" i="1"/>
  <c r="Q713" i="1"/>
  <c r="H713" i="1" s="1"/>
  <c r="G712" i="1"/>
  <c r="I712" i="1"/>
  <c r="J712" i="1"/>
  <c r="K712" i="1"/>
  <c r="L712" i="1"/>
  <c r="M712" i="1"/>
  <c r="B712" i="1"/>
  <c r="Q712" i="1"/>
  <c r="H712" i="1" s="1"/>
  <c r="G711" i="1"/>
  <c r="I711" i="1"/>
  <c r="J711" i="1"/>
  <c r="K711" i="1"/>
  <c r="L711" i="1"/>
  <c r="M711" i="1"/>
  <c r="B711" i="1"/>
  <c r="Q711" i="1"/>
  <c r="H711" i="1" s="1"/>
  <c r="B710" i="1"/>
  <c r="G710" i="1"/>
  <c r="I710" i="1"/>
  <c r="J710" i="1"/>
  <c r="K710" i="1"/>
  <c r="L710" i="1"/>
  <c r="M710" i="1"/>
  <c r="F710" i="1"/>
  <c r="Q710" i="1"/>
  <c r="H710" i="1" s="1"/>
  <c r="F709" i="1"/>
  <c r="G709" i="1"/>
  <c r="I709" i="1"/>
  <c r="J709" i="1"/>
  <c r="K709" i="1"/>
  <c r="L709" i="1"/>
  <c r="M709" i="1"/>
  <c r="N709" i="1"/>
  <c r="B709" i="1"/>
  <c r="Q709" i="1"/>
  <c r="H709" i="1" s="1"/>
  <c r="G708" i="1"/>
  <c r="I708" i="1"/>
  <c r="J708" i="1"/>
  <c r="K708" i="1"/>
  <c r="L708" i="1"/>
  <c r="M708" i="1"/>
  <c r="B708" i="1"/>
  <c r="Q708" i="1"/>
  <c r="H708" i="1" s="1"/>
  <c r="F707" i="1"/>
  <c r="G707" i="1"/>
  <c r="I707" i="1"/>
  <c r="J707" i="1"/>
  <c r="K707" i="1"/>
  <c r="L707" i="1"/>
  <c r="M707" i="1"/>
  <c r="N707" i="1"/>
  <c r="B707" i="1"/>
  <c r="Q707" i="1"/>
  <c r="H707" i="1" s="1"/>
  <c r="G706" i="1"/>
  <c r="I706" i="1"/>
  <c r="J706" i="1"/>
  <c r="K706" i="1"/>
  <c r="L706" i="1"/>
  <c r="M706" i="1"/>
  <c r="B706" i="1"/>
  <c r="Q706" i="1"/>
  <c r="H706" i="1" s="1"/>
  <c r="G705" i="1"/>
  <c r="I705" i="1"/>
  <c r="J705" i="1"/>
  <c r="K705" i="1"/>
  <c r="L705" i="1"/>
  <c r="M705" i="1"/>
  <c r="B705" i="1"/>
  <c r="Q705" i="1"/>
  <c r="H705" i="1" s="1"/>
  <c r="F704" i="1"/>
  <c r="G704" i="1"/>
  <c r="I704" i="1"/>
  <c r="J704" i="1"/>
  <c r="K704" i="1"/>
  <c r="L704" i="1"/>
  <c r="M704" i="1"/>
  <c r="N704" i="1"/>
  <c r="B704" i="1"/>
  <c r="Q704" i="1"/>
  <c r="H704" i="1" s="1"/>
  <c r="G703" i="1"/>
  <c r="I703" i="1"/>
  <c r="J703" i="1"/>
  <c r="K703" i="1"/>
  <c r="L703" i="1"/>
  <c r="M703" i="1"/>
  <c r="B703" i="1"/>
  <c r="Q703" i="1"/>
  <c r="H703" i="1" s="1"/>
  <c r="G702" i="1"/>
  <c r="I702" i="1"/>
  <c r="J702" i="1"/>
  <c r="K702" i="1"/>
  <c r="L702" i="1"/>
  <c r="M702" i="1"/>
  <c r="B702" i="1"/>
  <c r="Q702" i="1"/>
  <c r="H702" i="1" s="1"/>
  <c r="G701" i="1"/>
  <c r="I701" i="1"/>
  <c r="J701" i="1"/>
  <c r="K701" i="1"/>
  <c r="L701" i="1"/>
  <c r="M701" i="1"/>
  <c r="B701" i="1"/>
  <c r="Q701" i="1"/>
  <c r="H701" i="1" s="1"/>
  <c r="G700" i="1"/>
  <c r="I700" i="1"/>
  <c r="J700" i="1"/>
  <c r="K700" i="1"/>
  <c r="L700" i="1"/>
  <c r="M700" i="1"/>
  <c r="B700" i="1"/>
  <c r="Q700" i="1"/>
  <c r="H700" i="1" s="1"/>
  <c r="F699" i="1"/>
  <c r="G699" i="1"/>
  <c r="I699" i="1"/>
  <c r="J699" i="1"/>
  <c r="K699" i="1"/>
  <c r="L699" i="1"/>
  <c r="M699" i="1"/>
  <c r="N699" i="1"/>
  <c r="B699" i="1"/>
  <c r="Q699" i="1"/>
  <c r="H699" i="1" s="1"/>
  <c r="G698" i="1"/>
  <c r="I698" i="1"/>
  <c r="J698" i="1"/>
  <c r="K698" i="1"/>
  <c r="L698" i="1"/>
  <c r="M698" i="1"/>
  <c r="B698" i="1"/>
  <c r="Q698" i="1"/>
  <c r="G697" i="1"/>
  <c r="I697" i="1"/>
  <c r="J697" i="1"/>
  <c r="K697" i="1"/>
  <c r="L697" i="1"/>
  <c r="M697" i="1"/>
  <c r="B697" i="1"/>
  <c r="Q697" i="1"/>
  <c r="G696" i="1"/>
  <c r="I696" i="1"/>
  <c r="J696" i="1"/>
  <c r="K696" i="1"/>
  <c r="L696" i="1"/>
  <c r="M696" i="1"/>
  <c r="B696" i="1"/>
  <c r="Q696" i="1"/>
  <c r="H696" i="1" s="1"/>
  <c r="F695" i="1"/>
  <c r="G695" i="1"/>
  <c r="I695" i="1"/>
  <c r="J695" i="1"/>
  <c r="K695" i="1"/>
  <c r="L695" i="1"/>
  <c r="M695" i="1"/>
  <c r="N695" i="1"/>
  <c r="B695" i="1"/>
  <c r="Q695" i="1"/>
  <c r="F694" i="1"/>
  <c r="G694" i="1"/>
  <c r="I694" i="1"/>
  <c r="J694" i="1"/>
  <c r="K694" i="1"/>
  <c r="L694" i="1"/>
  <c r="M694" i="1"/>
  <c r="N694" i="1"/>
  <c r="B694" i="1"/>
  <c r="Q694" i="1"/>
  <c r="H694" i="1" s="1"/>
  <c r="G693" i="1"/>
  <c r="I693" i="1"/>
  <c r="J693" i="1"/>
  <c r="K693" i="1"/>
  <c r="L693" i="1"/>
  <c r="M693" i="1"/>
  <c r="B693" i="1"/>
  <c r="Q693" i="1"/>
  <c r="H693" i="1" s="1"/>
  <c r="F692" i="1"/>
  <c r="G692" i="1"/>
  <c r="I692" i="1"/>
  <c r="J692" i="1"/>
  <c r="K692" i="1"/>
  <c r="L692" i="1"/>
  <c r="M692" i="1"/>
  <c r="N692" i="1"/>
  <c r="B692" i="1"/>
  <c r="Q692" i="1"/>
  <c r="H692" i="1" s="1"/>
  <c r="G691" i="1"/>
  <c r="I691" i="1"/>
  <c r="J691" i="1"/>
  <c r="K691" i="1"/>
  <c r="L691" i="1"/>
  <c r="M691" i="1"/>
  <c r="B691" i="1"/>
  <c r="Q691" i="1"/>
  <c r="H691" i="1" s="1"/>
  <c r="F690" i="1"/>
  <c r="G690" i="1"/>
  <c r="I690" i="1"/>
  <c r="J690" i="1"/>
  <c r="K690" i="1"/>
  <c r="L690" i="1"/>
  <c r="M690" i="1"/>
  <c r="N690" i="1"/>
  <c r="B690" i="1"/>
  <c r="Q690" i="1"/>
  <c r="H690" i="1" s="1"/>
  <c r="G689" i="1"/>
  <c r="I689" i="1"/>
  <c r="J689" i="1"/>
  <c r="K689" i="1"/>
  <c r="L689" i="1"/>
  <c r="M689" i="1"/>
  <c r="B689" i="1"/>
  <c r="Q689" i="1"/>
  <c r="H689" i="1" s="1"/>
  <c r="G688" i="1"/>
  <c r="I688" i="1"/>
  <c r="J688" i="1"/>
  <c r="K688" i="1"/>
  <c r="L688" i="1"/>
  <c r="M688" i="1"/>
  <c r="B688" i="1"/>
  <c r="Q688" i="1"/>
  <c r="H688" i="1" s="1"/>
  <c r="F687" i="1"/>
  <c r="G687" i="1"/>
  <c r="I687" i="1"/>
  <c r="J687" i="1"/>
  <c r="K687" i="1"/>
  <c r="L687" i="1"/>
  <c r="M687" i="1"/>
  <c r="N687" i="1"/>
  <c r="B687" i="1"/>
  <c r="Q687" i="1"/>
  <c r="H687" i="1" s="1"/>
  <c r="B686" i="1"/>
  <c r="G686" i="1"/>
  <c r="I686" i="1"/>
  <c r="J686" i="1"/>
  <c r="K686" i="1"/>
  <c r="L686" i="1"/>
  <c r="M686" i="1"/>
  <c r="F686" i="1"/>
  <c r="Q686" i="1"/>
  <c r="G685" i="1"/>
  <c r="I685" i="1"/>
  <c r="J685" i="1"/>
  <c r="K685" i="1"/>
  <c r="L685" i="1"/>
  <c r="M685" i="1"/>
  <c r="B685" i="1"/>
  <c r="Q685" i="1"/>
  <c r="G684" i="1"/>
  <c r="I684" i="1"/>
  <c r="J684" i="1"/>
  <c r="K684" i="1"/>
  <c r="L684" i="1"/>
  <c r="M684" i="1"/>
  <c r="N684" i="1"/>
  <c r="B684" i="1"/>
  <c r="Q684" i="1"/>
  <c r="H684" i="1" s="1"/>
  <c r="G683" i="1"/>
  <c r="I683" i="1"/>
  <c r="J683" i="1"/>
  <c r="K683" i="1"/>
  <c r="L683" i="1"/>
  <c r="M683" i="1"/>
  <c r="B683" i="1"/>
  <c r="Q683" i="1"/>
  <c r="H683" i="1" s="1"/>
  <c r="G682" i="1"/>
  <c r="I682" i="1"/>
  <c r="J682" i="1"/>
  <c r="K682" i="1"/>
  <c r="L682" i="1"/>
  <c r="M682" i="1"/>
  <c r="B682" i="1"/>
  <c r="Q682" i="1"/>
  <c r="B681" i="1"/>
  <c r="G681" i="1"/>
  <c r="I681" i="1"/>
  <c r="J681" i="1"/>
  <c r="K681" i="1"/>
  <c r="L681" i="1"/>
  <c r="M681" i="1"/>
  <c r="F681" i="1"/>
  <c r="Q681" i="1"/>
  <c r="H681" i="1" s="1"/>
  <c r="G680" i="1"/>
  <c r="I680" i="1"/>
  <c r="J680" i="1"/>
  <c r="K680" i="1"/>
  <c r="L680" i="1"/>
  <c r="M680" i="1"/>
  <c r="B680" i="1"/>
  <c r="Q680" i="1"/>
  <c r="H680" i="1" s="1"/>
  <c r="G679" i="1"/>
  <c r="I679" i="1"/>
  <c r="J679" i="1"/>
  <c r="K679" i="1"/>
  <c r="L679" i="1"/>
  <c r="M679" i="1"/>
  <c r="B679" i="1"/>
  <c r="Q679" i="1"/>
  <c r="H679" i="1" s="1"/>
  <c r="F678" i="1"/>
  <c r="G678" i="1"/>
  <c r="I678" i="1"/>
  <c r="J678" i="1"/>
  <c r="K678" i="1"/>
  <c r="L678" i="1"/>
  <c r="M678" i="1"/>
  <c r="N678" i="1"/>
  <c r="B678" i="1"/>
  <c r="Q678" i="1"/>
  <c r="H678" i="1" s="1"/>
  <c r="G677" i="1"/>
  <c r="I677" i="1"/>
  <c r="J677" i="1"/>
  <c r="K677" i="1"/>
  <c r="L677" i="1"/>
  <c r="M677" i="1"/>
  <c r="B677" i="1"/>
  <c r="Q677" i="1"/>
  <c r="H677" i="1" s="1"/>
  <c r="F676" i="1"/>
  <c r="G676" i="1"/>
  <c r="I676" i="1"/>
  <c r="J676" i="1"/>
  <c r="K676" i="1"/>
  <c r="L676" i="1"/>
  <c r="M676" i="1"/>
  <c r="N676" i="1"/>
  <c r="B676" i="1"/>
  <c r="Q676" i="1"/>
  <c r="H676" i="1" s="1"/>
  <c r="G675" i="1"/>
  <c r="I675" i="1"/>
  <c r="J675" i="1"/>
  <c r="K675" i="1"/>
  <c r="L675" i="1"/>
  <c r="M675" i="1"/>
  <c r="B675" i="1"/>
  <c r="Q675" i="1"/>
  <c r="H675" i="1" s="1"/>
  <c r="G674" i="1"/>
  <c r="I674" i="1"/>
  <c r="J674" i="1"/>
  <c r="K674" i="1"/>
  <c r="L674" i="1"/>
  <c r="M674" i="1"/>
  <c r="B674" i="1"/>
  <c r="Q674" i="1"/>
  <c r="H674" i="1" s="1"/>
  <c r="G673" i="1"/>
  <c r="I673" i="1"/>
  <c r="J673" i="1"/>
  <c r="K673" i="1"/>
  <c r="L673" i="1"/>
  <c r="M673" i="1"/>
  <c r="B673" i="1"/>
  <c r="Q673" i="1"/>
  <c r="H673" i="1" s="1"/>
  <c r="F672" i="1"/>
  <c r="G672" i="1"/>
  <c r="I672" i="1"/>
  <c r="J672" i="1"/>
  <c r="K672" i="1"/>
  <c r="L672" i="1"/>
  <c r="M672" i="1"/>
  <c r="N672" i="1"/>
  <c r="B672" i="1"/>
  <c r="Q672" i="1"/>
  <c r="H672" i="1" s="1"/>
  <c r="G671" i="1"/>
  <c r="I671" i="1"/>
  <c r="J671" i="1"/>
  <c r="K671" i="1"/>
  <c r="L671" i="1"/>
  <c r="M671" i="1"/>
  <c r="B671" i="1"/>
  <c r="Q671" i="1"/>
  <c r="H671" i="1" s="1"/>
  <c r="B670" i="1"/>
  <c r="G670" i="1"/>
  <c r="I670" i="1"/>
  <c r="J670" i="1"/>
  <c r="K670" i="1"/>
  <c r="L670" i="1"/>
  <c r="M670" i="1"/>
  <c r="F670" i="1"/>
  <c r="Q670" i="1"/>
  <c r="H670" i="1" s="1"/>
  <c r="G669" i="1"/>
  <c r="I669" i="1"/>
  <c r="J669" i="1"/>
  <c r="K669" i="1"/>
  <c r="L669" i="1"/>
  <c r="M669" i="1"/>
  <c r="B669" i="1"/>
  <c r="Q669" i="1"/>
  <c r="H669" i="1" s="1"/>
  <c r="G668" i="1"/>
  <c r="I668" i="1"/>
  <c r="J668" i="1"/>
  <c r="K668" i="1"/>
  <c r="L668" i="1"/>
  <c r="M668" i="1"/>
  <c r="B668" i="1"/>
  <c r="Q668" i="1"/>
  <c r="H668" i="1" s="1"/>
  <c r="G667" i="1"/>
  <c r="I667" i="1"/>
  <c r="J667" i="1"/>
  <c r="K667" i="1"/>
  <c r="L667" i="1"/>
  <c r="M667" i="1"/>
  <c r="B667" i="1"/>
  <c r="Q667" i="1"/>
  <c r="H667" i="1" s="1"/>
  <c r="G666" i="1"/>
  <c r="I666" i="1"/>
  <c r="J666" i="1"/>
  <c r="K666" i="1"/>
  <c r="L666" i="1"/>
  <c r="M666" i="1"/>
  <c r="B666" i="1"/>
  <c r="Q666" i="1"/>
  <c r="F665" i="1"/>
  <c r="G665" i="1"/>
  <c r="I665" i="1"/>
  <c r="J665" i="1"/>
  <c r="K665" i="1"/>
  <c r="L665" i="1"/>
  <c r="M665" i="1"/>
  <c r="N665" i="1"/>
  <c r="B665" i="1"/>
  <c r="Q665" i="1"/>
  <c r="H665" i="1" s="1"/>
  <c r="G664" i="1"/>
  <c r="I664" i="1"/>
  <c r="J664" i="1"/>
  <c r="K664" i="1"/>
  <c r="L664" i="1"/>
  <c r="M664" i="1"/>
  <c r="B664" i="1"/>
  <c r="Q664" i="1"/>
  <c r="H664" i="1" s="1"/>
  <c r="G663" i="1"/>
  <c r="I663" i="1"/>
  <c r="J663" i="1"/>
  <c r="K663" i="1"/>
  <c r="L663" i="1"/>
  <c r="M663" i="1"/>
  <c r="B663" i="1"/>
  <c r="Q663" i="1"/>
  <c r="F662" i="1"/>
  <c r="G662" i="1"/>
  <c r="I662" i="1"/>
  <c r="J662" i="1"/>
  <c r="K662" i="1"/>
  <c r="L662" i="1"/>
  <c r="M662" i="1"/>
  <c r="N662" i="1"/>
  <c r="B662" i="1"/>
  <c r="Q662" i="1"/>
  <c r="H662" i="1" s="1"/>
  <c r="G661" i="1"/>
  <c r="I661" i="1"/>
  <c r="J661" i="1"/>
  <c r="K661" i="1"/>
  <c r="L661" i="1"/>
  <c r="M661" i="1"/>
  <c r="B661" i="1"/>
  <c r="Q661" i="1"/>
  <c r="H661" i="1" s="1"/>
  <c r="G660" i="1"/>
  <c r="I660" i="1"/>
  <c r="J660" i="1"/>
  <c r="K660" i="1"/>
  <c r="L660" i="1"/>
  <c r="M660" i="1"/>
  <c r="B660" i="1"/>
  <c r="Q660" i="1"/>
  <c r="G659" i="1"/>
  <c r="I659" i="1"/>
  <c r="J659" i="1"/>
  <c r="K659" i="1"/>
  <c r="L659" i="1"/>
  <c r="M659" i="1"/>
  <c r="B659" i="1"/>
  <c r="Q659" i="1"/>
  <c r="H659" i="1" s="1"/>
  <c r="G658" i="1"/>
  <c r="I658" i="1"/>
  <c r="J658" i="1"/>
  <c r="K658" i="1"/>
  <c r="L658" i="1"/>
  <c r="M658" i="1"/>
  <c r="B658" i="1"/>
  <c r="Q658" i="1"/>
  <c r="H658" i="1" s="1"/>
  <c r="B657" i="1"/>
  <c r="G657" i="1"/>
  <c r="I657" i="1"/>
  <c r="J657" i="1"/>
  <c r="K657" i="1"/>
  <c r="L657" i="1"/>
  <c r="M657" i="1"/>
  <c r="F657" i="1"/>
  <c r="Q657" i="1"/>
  <c r="H657" i="1" s="1"/>
  <c r="G656" i="1"/>
  <c r="I656" i="1"/>
  <c r="J656" i="1"/>
  <c r="K656" i="1"/>
  <c r="L656" i="1"/>
  <c r="M656" i="1"/>
  <c r="B656" i="1"/>
  <c r="Q656" i="1"/>
  <c r="B655" i="1"/>
  <c r="G655" i="1"/>
  <c r="I655" i="1"/>
  <c r="J655" i="1"/>
  <c r="K655" i="1"/>
  <c r="L655" i="1"/>
  <c r="M655" i="1"/>
  <c r="F655" i="1"/>
  <c r="Q655" i="1"/>
  <c r="H655" i="1" s="1"/>
  <c r="B654" i="1"/>
  <c r="G654" i="1"/>
  <c r="I654" i="1"/>
  <c r="J654" i="1"/>
  <c r="K654" i="1"/>
  <c r="L654" i="1"/>
  <c r="M654" i="1"/>
  <c r="F654" i="1"/>
  <c r="Q654" i="1"/>
  <c r="B653" i="1"/>
  <c r="G653" i="1"/>
  <c r="I653" i="1"/>
  <c r="J653" i="1"/>
  <c r="K653" i="1"/>
  <c r="L653" i="1"/>
  <c r="M653" i="1"/>
  <c r="F653" i="1"/>
  <c r="Q653" i="1"/>
  <c r="H653" i="1" s="1"/>
  <c r="G652" i="1"/>
  <c r="I652" i="1"/>
  <c r="J652" i="1"/>
  <c r="K652" i="1"/>
  <c r="L652" i="1"/>
  <c r="M652" i="1"/>
  <c r="B652" i="1"/>
  <c r="Q652" i="1"/>
  <c r="H652" i="1" s="1"/>
  <c r="B651" i="1"/>
  <c r="F651" i="1"/>
  <c r="G651" i="1"/>
  <c r="I651" i="1"/>
  <c r="J651" i="1"/>
  <c r="K651" i="1"/>
  <c r="L651" i="1"/>
  <c r="M651" i="1"/>
  <c r="N651" i="1"/>
  <c r="Q651" i="1"/>
  <c r="H651" i="1" s="1"/>
  <c r="G650" i="1"/>
  <c r="I650" i="1"/>
  <c r="J650" i="1"/>
  <c r="K650" i="1"/>
  <c r="L650" i="1"/>
  <c r="M650" i="1"/>
  <c r="B650" i="1"/>
  <c r="Q650" i="1"/>
  <c r="H650" i="1" s="1"/>
  <c r="F649" i="1"/>
  <c r="G649" i="1"/>
  <c r="I649" i="1"/>
  <c r="J649" i="1"/>
  <c r="K649" i="1"/>
  <c r="L649" i="1"/>
  <c r="M649" i="1"/>
  <c r="N649" i="1"/>
  <c r="B649" i="1"/>
  <c r="Q649" i="1"/>
  <c r="H649" i="1" s="1"/>
  <c r="G648" i="1"/>
  <c r="I648" i="1"/>
  <c r="J648" i="1"/>
  <c r="K648" i="1"/>
  <c r="L648" i="1"/>
  <c r="M648" i="1"/>
  <c r="B648" i="1"/>
  <c r="Q648" i="1"/>
  <c r="H648" i="1" s="1"/>
  <c r="G647" i="1"/>
  <c r="I647" i="1"/>
  <c r="J647" i="1"/>
  <c r="K647" i="1"/>
  <c r="L647" i="1"/>
  <c r="M647" i="1"/>
  <c r="B647" i="1"/>
  <c r="Q647" i="1"/>
  <c r="H647" i="1" s="1"/>
  <c r="G646" i="1"/>
  <c r="I646" i="1"/>
  <c r="J646" i="1"/>
  <c r="K646" i="1"/>
  <c r="L646" i="1"/>
  <c r="M646" i="1"/>
  <c r="B646" i="1"/>
  <c r="Q646" i="1"/>
  <c r="B645" i="1"/>
  <c r="G645" i="1"/>
  <c r="I645" i="1"/>
  <c r="J645" i="1"/>
  <c r="K645" i="1"/>
  <c r="L645" i="1"/>
  <c r="M645" i="1"/>
  <c r="F645" i="1"/>
  <c r="Q645" i="1"/>
  <c r="H645" i="1" s="1"/>
  <c r="G644" i="1"/>
  <c r="I644" i="1"/>
  <c r="J644" i="1"/>
  <c r="K644" i="1"/>
  <c r="L644" i="1"/>
  <c r="M644" i="1"/>
  <c r="B644" i="1"/>
  <c r="Q644" i="1"/>
  <c r="H644" i="1" s="1"/>
  <c r="G643" i="1"/>
  <c r="I643" i="1"/>
  <c r="J643" i="1"/>
  <c r="K643" i="1"/>
  <c r="L643" i="1"/>
  <c r="M643" i="1"/>
  <c r="F643" i="1"/>
  <c r="Q643" i="1"/>
  <c r="H643" i="1" s="1"/>
  <c r="G642" i="1"/>
  <c r="I642" i="1"/>
  <c r="J642" i="1"/>
  <c r="K642" i="1"/>
  <c r="L642" i="1"/>
  <c r="M642" i="1"/>
  <c r="B642" i="1"/>
  <c r="Q642" i="1"/>
  <c r="A681" i="1" l="1"/>
  <c r="C681" i="1" s="1"/>
  <c r="A665" i="1"/>
  <c r="C665" i="1" s="1"/>
  <c r="A745" i="1"/>
  <c r="C745" i="1" s="1"/>
  <c r="A649" i="1"/>
  <c r="C649" i="1" s="1"/>
  <c r="A741" i="1"/>
  <c r="C741" i="1" s="1"/>
  <c r="A721" i="1"/>
  <c r="C721" i="1" s="1"/>
  <c r="A701" i="1"/>
  <c r="C701" i="1" s="1"/>
  <c r="A677" i="1"/>
  <c r="C677" i="1" s="1"/>
  <c r="A661" i="1"/>
  <c r="C661" i="1" s="1"/>
  <c r="A645" i="1"/>
  <c r="C645" i="1" s="1"/>
  <c r="A725" i="1"/>
  <c r="C725" i="1" s="1"/>
  <c r="A737" i="1"/>
  <c r="C737" i="1" s="1"/>
  <c r="A717" i="1"/>
  <c r="C717" i="1" s="1"/>
  <c r="A693" i="1"/>
  <c r="C693" i="1" s="1"/>
  <c r="A673" i="1"/>
  <c r="C673" i="1" s="1"/>
  <c r="A657" i="1"/>
  <c r="C657" i="1" s="1"/>
  <c r="A705" i="1"/>
  <c r="C705" i="1" s="1"/>
  <c r="A749" i="1"/>
  <c r="C749" i="1" s="1"/>
  <c r="A729" i="1"/>
  <c r="C729" i="1" s="1"/>
  <c r="A713" i="1"/>
  <c r="C713" i="1" s="1"/>
  <c r="A689" i="1"/>
  <c r="C689" i="1" s="1"/>
  <c r="A669" i="1"/>
  <c r="C669" i="1" s="1"/>
  <c r="A653" i="1"/>
  <c r="C653" i="1" s="1"/>
  <c r="H642" i="1"/>
  <c r="A642" i="1"/>
  <c r="C642" i="1" s="1"/>
  <c r="H656" i="1"/>
  <c r="A656" i="1"/>
  <c r="C656" i="1" s="1"/>
  <c r="H666" i="1"/>
  <c r="A666" i="1"/>
  <c r="C666" i="1" s="1"/>
  <c r="H697" i="1"/>
  <c r="A697" i="1"/>
  <c r="C697" i="1" s="1"/>
  <c r="H698" i="1"/>
  <c r="A698" i="1"/>
  <c r="C698" i="1" s="1"/>
  <c r="H682" i="1"/>
  <c r="A682" i="1"/>
  <c r="C682" i="1" s="1"/>
  <c r="H654" i="1"/>
  <c r="A654" i="1"/>
  <c r="C654" i="1" s="1"/>
  <c r="H663" i="1"/>
  <c r="A663" i="1"/>
  <c r="C663" i="1" s="1"/>
  <c r="H685" i="1"/>
  <c r="A685" i="1"/>
  <c r="C685" i="1" s="1"/>
  <c r="H686" i="1"/>
  <c r="A686" i="1"/>
  <c r="C686" i="1" s="1"/>
  <c r="H646" i="1"/>
  <c r="A646" i="1"/>
  <c r="C646" i="1" s="1"/>
  <c r="H660" i="1"/>
  <c r="A660" i="1"/>
  <c r="C660" i="1" s="1"/>
  <c r="H695" i="1"/>
  <c r="A695" i="1"/>
  <c r="C695" i="1" s="1"/>
  <c r="A709" i="1"/>
  <c r="C709" i="1" s="1"/>
  <c r="A752" i="1"/>
  <c r="C752" i="1" s="1"/>
  <c r="A748" i="1"/>
  <c r="C748" i="1" s="1"/>
  <c r="A744" i="1"/>
  <c r="C744" i="1" s="1"/>
  <c r="A740" i="1"/>
  <c r="C740" i="1" s="1"/>
  <c r="A736" i="1"/>
  <c r="C736" i="1" s="1"/>
  <c r="A732" i="1"/>
  <c r="C732" i="1" s="1"/>
  <c r="A728" i="1"/>
  <c r="C728" i="1" s="1"/>
  <c r="A724" i="1"/>
  <c r="C724" i="1" s="1"/>
  <c r="A720" i="1"/>
  <c r="C720" i="1" s="1"/>
  <c r="A716" i="1"/>
  <c r="C716" i="1" s="1"/>
  <c r="A712" i="1"/>
  <c r="C712" i="1" s="1"/>
  <c r="A708" i="1"/>
  <c r="C708" i="1" s="1"/>
  <c r="A704" i="1"/>
  <c r="C704" i="1" s="1"/>
  <c r="A700" i="1"/>
  <c r="C700" i="1" s="1"/>
  <c r="A696" i="1"/>
  <c r="C696" i="1" s="1"/>
  <c r="A692" i="1"/>
  <c r="C692" i="1" s="1"/>
  <c r="A688" i="1"/>
  <c r="C688" i="1" s="1"/>
  <c r="A684" i="1"/>
  <c r="C684" i="1" s="1"/>
  <c r="A680" i="1"/>
  <c r="C680" i="1" s="1"/>
  <c r="A676" i="1"/>
  <c r="C676" i="1" s="1"/>
  <c r="A672" i="1"/>
  <c r="C672" i="1" s="1"/>
  <c r="A668" i="1"/>
  <c r="C668" i="1" s="1"/>
  <c r="A664" i="1"/>
  <c r="C664" i="1" s="1"/>
  <c r="A652" i="1"/>
  <c r="C652" i="1" s="1"/>
  <c r="A648" i="1"/>
  <c r="C648" i="1" s="1"/>
  <c r="A644" i="1"/>
  <c r="C644" i="1" s="1"/>
  <c r="A753" i="1"/>
  <c r="C753" i="1" s="1"/>
  <c r="A751" i="1"/>
  <c r="C751" i="1" s="1"/>
  <c r="A747" i="1"/>
  <c r="C747" i="1" s="1"/>
  <c r="A743" i="1"/>
  <c r="C743" i="1" s="1"/>
  <c r="A739" i="1"/>
  <c r="C739" i="1" s="1"/>
  <c r="A735" i="1"/>
  <c r="C735" i="1" s="1"/>
  <c r="A731" i="1"/>
  <c r="C731" i="1" s="1"/>
  <c r="A727" i="1"/>
  <c r="C727" i="1" s="1"/>
  <c r="A723" i="1"/>
  <c r="C723" i="1" s="1"/>
  <c r="A719" i="1"/>
  <c r="C719" i="1" s="1"/>
  <c r="A715" i="1"/>
  <c r="C715" i="1" s="1"/>
  <c r="A711" i="1"/>
  <c r="C711" i="1" s="1"/>
  <c r="A707" i="1"/>
  <c r="C707" i="1" s="1"/>
  <c r="A703" i="1"/>
  <c r="C703" i="1" s="1"/>
  <c r="A699" i="1"/>
  <c r="C699" i="1" s="1"/>
  <c r="A691" i="1"/>
  <c r="C691" i="1" s="1"/>
  <c r="A687" i="1"/>
  <c r="C687" i="1" s="1"/>
  <c r="A683" i="1"/>
  <c r="C683" i="1" s="1"/>
  <c r="A679" i="1"/>
  <c r="C679" i="1" s="1"/>
  <c r="A675" i="1"/>
  <c r="C675" i="1" s="1"/>
  <c r="A671" i="1"/>
  <c r="C671" i="1" s="1"/>
  <c r="A667" i="1"/>
  <c r="C667" i="1" s="1"/>
  <c r="A659" i="1"/>
  <c r="C659" i="1" s="1"/>
  <c r="A655" i="1"/>
  <c r="C655" i="1" s="1"/>
  <c r="A651" i="1"/>
  <c r="C651" i="1" s="1"/>
  <c r="A647" i="1"/>
  <c r="C647" i="1" s="1"/>
  <c r="A643" i="1"/>
  <c r="C643" i="1" s="1"/>
  <c r="A733" i="1"/>
  <c r="C733" i="1" s="1"/>
  <c r="A750" i="1"/>
  <c r="C750" i="1" s="1"/>
  <c r="A746" i="1"/>
  <c r="C746" i="1" s="1"/>
  <c r="A742" i="1"/>
  <c r="C742" i="1" s="1"/>
  <c r="A738" i="1"/>
  <c r="C738" i="1" s="1"/>
  <c r="A734" i="1"/>
  <c r="C734" i="1" s="1"/>
  <c r="A730" i="1"/>
  <c r="C730" i="1" s="1"/>
  <c r="A726" i="1"/>
  <c r="C726" i="1" s="1"/>
  <c r="A722" i="1"/>
  <c r="C722" i="1" s="1"/>
  <c r="A718" i="1"/>
  <c r="C718" i="1" s="1"/>
  <c r="A714" i="1"/>
  <c r="C714" i="1" s="1"/>
  <c r="A710" i="1"/>
  <c r="C710" i="1" s="1"/>
  <c r="A706" i="1"/>
  <c r="C706" i="1" s="1"/>
  <c r="A702" i="1"/>
  <c r="C702" i="1" s="1"/>
  <c r="A694" i="1"/>
  <c r="C694" i="1" s="1"/>
  <c r="A690" i="1"/>
  <c r="C690" i="1" s="1"/>
  <c r="A678" i="1"/>
  <c r="C678" i="1" s="1"/>
  <c r="A674" i="1"/>
  <c r="C674" i="1" s="1"/>
  <c r="A670" i="1"/>
  <c r="C670" i="1" s="1"/>
  <c r="A662" i="1"/>
  <c r="C662" i="1" s="1"/>
  <c r="A658" i="1"/>
  <c r="C658" i="1" s="1"/>
  <c r="A650" i="1"/>
  <c r="C650" i="1" s="1"/>
  <c r="N753" i="1"/>
  <c r="F753" i="1"/>
  <c r="N751" i="1"/>
  <c r="F751" i="1"/>
  <c r="N750" i="1"/>
  <c r="F750" i="1"/>
  <c r="N749" i="1"/>
  <c r="F749" i="1"/>
  <c r="N747" i="1"/>
  <c r="F747" i="1"/>
  <c r="N744" i="1"/>
  <c r="F744" i="1"/>
  <c r="N743" i="1"/>
  <c r="F743" i="1"/>
  <c r="N742" i="1"/>
  <c r="N740" i="1"/>
  <c r="F740" i="1"/>
  <c r="N738" i="1"/>
  <c r="F738" i="1"/>
  <c r="N737" i="1"/>
  <c r="F737" i="1"/>
  <c r="N735" i="1"/>
  <c r="F735" i="1"/>
  <c r="N734" i="1"/>
  <c r="F734" i="1"/>
  <c r="N733" i="1"/>
  <c r="F733" i="1"/>
  <c r="N731" i="1"/>
  <c r="F731" i="1"/>
  <c r="N729" i="1"/>
  <c r="F729" i="1"/>
  <c r="N728" i="1"/>
  <c r="F728" i="1"/>
  <c r="N727" i="1"/>
  <c r="F727" i="1"/>
  <c r="N726" i="1"/>
  <c r="F726" i="1"/>
  <c r="N725" i="1"/>
  <c r="F725" i="1"/>
  <c r="N724" i="1"/>
  <c r="F724" i="1"/>
  <c r="N723" i="1"/>
  <c r="F723" i="1"/>
  <c r="N722" i="1"/>
  <c r="F722" i="1"/>
  <c r="N720" i="1"/>
  <c r="F720" i="1"/>
  <c r="N719" i="1"/>
  <c r="F719" i="1"/>
  <c r="N717" i="1"/>
  <c r="N715" i="1"/>
  <c r="F715" i="1"/>
  <c r="N714" i="1"/>
  <c r="F714" i="1"/>
  <c r="N713" i="1"/>
  <c r="F713" i="1"/>
  <c r="N712" i="1"/>
  <c r="F712" i="1"/>
  <c r="N711" i="1"/>
  <c r="F711" i="1"/>
  <c r="N710" i="1"/>
  <c r="N708" i="1"/>
  <c r="F708" i="1"/>
  <c r="N706" i="1"/>
  <c r="F706" i="1"/>
  <c r="N705" i="1"/>
  <c r="F705" i="1"/>
  <c r="N703" i="1"/>
  <c r="F703" i="1"/>
  <c r="N702" i="1"/>
  <c r="F702" i="1"/>
  <c r="N701" i="1"/>
  <c r="F701" i="1"/>
  <c r="N700" i="1"/>
  <c r="F700" i="1"/>
  <c r="N698" i="1"/>
  <c r="F698" i="1"/>
  <c r="N697" i="1"/>
  <c r="F697" i="1"/>
  <c r="N696" i="1"/>
  <c r="F696" i="1"/>
  <c r="N693" i="1"/>
  <c r="F693" i="1"/>
  <c r="N691" i="1"/>
  <c r="F691" i="1"/>
  <c r="N689" i="1"/>
  <c r="F689" i="1"/>
  <c r="N688" i="1"/>
  <c r="F688" i="1"/>
  <c r="N686" i="1"/>
  <c r="N685" i="1"/>
  <c r="F685" i="1"/>
  <c r="F684" i="1"/>
  <c r="N683" i="1"/>
  <c r="F683" i="1"/>
  <c r="N682" i="1"/>
  <c r="F682" i="1"/>
  <c r="N681" i="1"/>
  <c r="N680" i="1"/>
  <c r="F680" i="1"/>
  <c r="N679" i="1"/>
  <c r="F679" i="1"/>
  <c r="N677" i="1"/>
  <c r="F677" i="1"/>
  <c r="N675" i="1"/>
  <c r="F675" i="1"/>
  <c r="N674" i="1"/>
  <c r="F674" i="1"/>
  <c r="N673" i="1"/>
  <c r="F673" i="1"/>
  <c r="N671" i="1"/>
  <c r="F671" i="1"/>
  <c r="N670" i="1"/>
  <c r="N669" i="1"/>
  <c r="F669" i="1"/>
  <c r="N668" i="1"/>
  <c r="F668" i="1"/>
  <c r="N667" i="1"/>
  <c r="F667" i="1"/>
  <c r="N666" i="1"/>
  <c r="F666" i="1"/>
  <c r="N664" i="1"/>
  <c r="F664" i="1"/>
  <c r="N663" i="1"/>
  <c r="F663" i="1"/>
  <c r="N661" i="1"/>
  <c r="F661" i="1"/>
  <c r="N660" i="1"/>
  <c r="F660" i="1"/>
  <c r="N659" i="1"/>
  <c r="F659" i="1"/>
  <c r="N658" i="1"/>
  <c r="F658" i="1"/>
  <c r="N657" i="1"/>
  <c r="N656" i="1"/>
  <c r="F656" i="1"/>
  <c r="N655" i="1"/>
  <c r="N654" i="1"/>
  <c r="N653" i="1"/>
  <c r="N652" i="1"/>
  <c r="F652" i="1"/>
  <c r="N650" i="1"/>
  <c r="F650" i="1"/>
  <c r="N648" i="1"/>
  <c r="F648" i="1"/>
  <c r="N647" i="1"/>
  <c r="F647" i="1"/>
  <c r="N646" i="1"/>
  <c r="F646" i="1"/>
  <c r="N645" i="1"/>
  <c r="N644" i="1"/>
  <c r="F644" i="1"/>
  <c r="B643" i="1"/>
  <c r="N643" i="1"/>
  <c r="N642" i="1"/>
  <c r="F642" i="1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Q641" i="1"/>
  <c r="H641" i="1" s="1"/>
  <c r="N641" i="1"/>
  <c r="M641" i="1"/>
  <c r="L641" i="1"/>
  <c r="K641" i="1"/>
  <c r="J641" i="1"/>
  <c r="I641" i="1"/>
  <c r="G641" i="1"/>
  <c r="F641" i="1"/>
  <c r="B641" i="1"/>
  <c r="Q640" i="1"/>
  <c r="H640" i="1" s="1"/>
  <c r="N640" i="1"/>
  <c r="M640" i="1"/>
  <c r="L640" i="1"/>
  <c r="K640" i="1"/>
  <c r="J640" i="1"/>
  <c r="I640" i="1"/>
  <c r="G640" i="1"/>
  <c r="F640" i="1"/>
  <c r="B640" i="1"/>
  <c r="Q639" i="1"/>
  <c r="H639" i="1" s="1"/>
  <c r="N639" i="1"/>
  <c r="M639" i="1"/>
  <c r="L639" i="1"/>
  <c r="K639" i="1"/>
  <c r="J639" i="1"/>
  <c r="I639" i="1"/>
  <c r="G639" i="1"/>
  <c r="F639" i="1"/>
  <c r="B639" i="1"/>
  <c r="Q638" i="1"/>
  <c r="H638" i="1" s="1"/>
  <c r="N638" i="1"/>
  <c r="M638" i="1"/>
  <c r="L638" i="1"/>
  <c r="K638" i="1"/>
  <c r="J638" i="1"/>
  <c r="I638" i="1"/>
  <c r="G638" i="1"/>
  <c r="F638" i="1"/>
  <c r="B638" i="1"/>
  <c r="Q637" i="1"/>
  <c r="H637" i="1" s="1"/>
  <c r="N637" i="1"/>
  <c r="M637" i="1"/>
  <c r="L637" i="1"/>
  <c r="K637" i="1"/>
  <c r="J637" i="1"/>
  <c r="I637" i="1"/>
  <c r="G637" i="1"/>
  <c r="F637" i="1"/>
  <c r="B637" i="1"/>
  <c r="Q636" i="1"/>
  <c r="H636" i="1" s="1"/>
  <c r="N636" i="1"/>
  <c r="M636" i="1"/>
  <c r="L636" i="1"/>
  <c r="K636" i="1"/>
  <c r="J636" i="1"/>
  <c r="I636" i="1"/>
  <c r="G636" i="1"/>
  <c r="F636" i="1"/>
  <c r="B636" i="1"/>
  <c r="Q635" i="1"/>
  <c r="H635" i="1" s="1"/>
  <c r="N635" i="1"/>
  <c r="M635" i="1"/>
  <c r="L635" i="1"/>
  <c r="K635" i="1"/>
  <c r="J635" i="1"/>
  <c r="I635" i="1"/>
  <c r="G635" i="1"/>
  <c r="F635" i="1"/>
  <c r="B635" i="1"/>
  <c r="Q634" i="1"/>
  <c r="H634" i="1" s="1"/>
  <c r="N634" i="1"/>
  <c r="M634" i="1"/>
  <c r="L634" i="1"/>
  <c r="K634" i="1"/>
  <c r="J634" i="1"/>
  <c r="I634" i="1"/>
  <c r="G634" i="1"/>
  <c r="F634" i="1"/>
  <c r="B634" i="1"/>
  <c r="Q633" i="1"/>
  <c r="H633" i="1" s="1"/>
  <c r="N633" i="1"/>
  <c r="M633" i="1"/>
  <c r="L633" i="1"/>
  <c r="K633" i="1"/>
  <c r="J633" i="1"/>
  <c r="I633" i="1"/>
  <c r="G633" i="1"/>
  <c r="F633" i="1"/>
  <c r="B633" i="1"/>
  <c r="Q632" i="1"/>
  <c r="H632" i="1" s="1"/>
  <c r="N632" i="1"/>
  <c r="M632" i="1"/>
  <c r="L632" i="1"/>
  <c r="K632" i="1"/>
  <c r="J632" i="1"/>
  <c r="I632" i="1"/>
  <c r="G632" i="1"/>
  <c r="F632" i="1"/>
  <c r="B632" i="1"/>
  <c r="A632" i="1"/>
  <c r="C632" i="1" s="1"/>
  <c r="Q631" i="1"/>
  <c r="H631" i="1" s="1"/>
  <c r="N631" i="1"/>
  <c r="M631" i="1"/>
  <c r="L631" i="1"/>
  <c r="K631" i="1"/>
  <c r="J631" i="1"/>
  <c r="I631" i="1"/>
  <c r="G631" i="1"/>
  <c r="F631" i="1"/>
  <c r="B631" i="1"/>
  <c r="Q630" i="1"/>
  <c r="H630" i="1" s="1"/>
  <c r="N630" i="1"/>
  <c r="M630" i="1"/>
  <c r="L630" i="1"/>
  <c r="K630" i="1"/>
  <c r="J630" i="1"/>
  <c r="I630" i="1"/>
  <c r="G630" i="1"/>
  <c r="F630" i="1"/>
  <c r="B630" i="1"/>
  <c r="Q629" i="1"/>
  <c r="H629" i="1" s="1"/>
  <c r="N629" i="1"/>
  <c r="M629" i="1"/>
  <c r="L629" i="1"/>
  <c r="K629" i="1"/>
  <c r="J629" i="1"/>
  <c r="I629" i="1"/>
  <c r="G629" i="1"/>
  <c r="F629" i="1"/>
  <c r="B629" i="1"/>
  <c r="Q628" i="1"/>
  <c r="H628" i="1" s="1"/>
  <c r="N628" i="1"/>
  <c r="M628" i="1"/>
  <c r="L628" i="1"/>
  <c r="K628" i="1"/>
  <c r="J628" i="1"/>
  <c r="I628" i="1"/>
  <c r="G628" i="1"/>
  <c r="F628" i="1"/>
  <c r="B628" i="1"/>
  <c r="Q627" i="1"/>
  <c r="H627" i="1" s="1"/>
  <c r="N627" i="1"/>
  <c r="M627" i="1"/>
  <c r="L627" i="1"/>
  <c r="K627" i="1"/>
  <c r="J627" i="1"/>
  <c r="I627" i="1"/>
  <c r="G627" i="1"/>
  <c r="F627" i="1"/>
  <c r="B627" i="1"/>
  <c r="Q626" i="1"/>
  <c r="H626" i="1" s="1"/>
  <c r="N626" i="1"/>
  <c r="M626" i="1"/>
  <c r="L626" i="1"/>
  <c r="K626" i="1"/>
  <c r="J626" i="1"/>
  <c r="I626" i="1"/>
  <c r="G626" i="1"/>
  <c r="F626" i="1"/>
  <c r="B626" i="1"/>
  <c r="Q625" i="1"/>
  <c r="H625" i="1" s="1"/>
  <c r="N625" i="1"/>
  <c r="M625" i="1"/>
  <c r="L625" i="1"/>
  <c r="K625" i="1"/>
  <c r="J625" i="1"/>
  <c r="I625" i="1"/>
  <c r="G625" i="1"/>
  <c r="F625" i="1"/>
  <c r="B625" i="1"/>
  <c r="Q624" i="1"/>
  <c r="H624" i="1" s="1"/>
  <c r="N624" i="1"/>
  <c r="M624" i="1"/>
  <c r="L624" i="1"/>
  <c r="K624" i="1"/>
  <c r="J624" i="1"/>
  <c r="I624" i="1"/>
  <c r="G624" i="1"/>
  <c r="F624" i="1"/>
  <c r="B624" i="1"/>
  <c r="Q623" i="1"/>
  <c r="H623" i="1" s="1"/>
  <c r="N623" i="1"/>
  <c r="M623" i="1"/>
  <c r="L623" i="1"/>
  <c r="K623" i="1"/>
  <c r="J623" i="1"/>
  <c r="I623" i="1"/>
  <c r="G623" i="1"/>
  <c r="F623" i="1"/>
  <c r="B623" i="1"/>
  <c r="Q622" i="1"/>
  <c r="H622" i="1" s="1"/>
  <c r="N622" i="1"/>
  <c r="M622" i="1"/>
  <c r="L622" i="1"/>
  <c r="K622" i="1"/>
  <c r="J622" i="1"/>
  <c r="I622" i="1"/>
  <c r="G622" i="1"/>
  <c r="F622" i="1"/>
  <c r="B622" i="1"/>
  <c r="Q621" i="1"/>
  <c r="H621" i="1" s="1"/>
  <c r="N621" i="1"/>
  <c r="M621" i="1"/>
  <c r="L621" i="1"/>
  <c r="K621" i="1"/>
  <c r="J621" i="1"/>
  <c r="I621" i="1"/>
  <c r="G621" i="1"/>
  <c r="F621" i="1"/>
  <c r="B621" i="1"/>
  <c r="Q620" i="1"/>
  <c r="H620" i="1" s="1"/>
  <c r="N620" i="1"/>
  <c r="M620" i="1"/>
  <c r="L620" i="1"/>
  <c r="K620" i="1"/>
  <c r="J620" i="1"/>
  <c r="I620" i="1"/>
  <c r="G620" i="1"/>
  <c r="F620" i="1"/>
  <c r="B620" i="1"/>
  <c r="Q619" i="1"/>
  <c r="H619" i="1" s="1"/>
  <c r="N619" i="1"/>
  <c r="M619" i="1"/>
  <c r="L619" i="1"/>
  <c r="K619" i="1"/>
  <c r="J619" i="1"/>
  <c r="I619" i="1"/>
  <c r="G619" i="1"/>
  <c r="F619" i="1"/>
  <c r="B619" i="1"/>
  <c r="Q618" i="1"/>
  <c r="H618" i="1" s="1"/>
  <c r="N618" i="1"/>
  <c r="M618" i="1"/>
  <c r="L618" i="1"/>
  <c r="K618" i="1"/>
  <c r="J618" i="1"/>
  <c r="I618" i="1"/>
  <c r="G618" i="1"/>
  <c r="F618" i="1"/>
  <c r="B618" i="1"/>
  <c r="Q617" i="1"/>
  <c r="H617" i="1" s="1"/>
  <c r="N617" i="1"/>
  <c r="M617" i="1"/>
  <c r="L617" i="1"/>
  <c r="K617" i="1"/>
  <c r="J617" i="1"/>
  <c r="I617" i="1"/>
  <c r="G617" i="1"/>
  <c r="F617" i="1"/>
  <c r="B617" i="1"/>
  <c r="Q616" i="1"/>
  <c r="H616" i="1" s="1"/>
  <c r="N616" i="1"/>
  <c r="M616" i="1"/>
  <c r="L616" i="1"/>
  <c r="K616" i="1"/>
  <c r="J616" i="1"/>
  <c r="I616" i="1"/>
  <c r="G616" i="1"/>
  <c r="F616" i="1"/>
  <c r="B616" i="1"/>
  <c r="Q615" i="1"/>
  <c r="H615" i="1" s="1"/>
  <c r="N615" i="1"/>
  <c r="M615" i="1"/>
  <c r="L615" i="1"/>
  <c r="K615" i="1"/>
  <c r="J615" i="1"/>
  <c r="I615" i="1"/>
  <c r="G615" i="1"/>
  <c r="F615" i="1"/>
  <c r="B615" i="1"/>
  <c r="Q614" i="1"/>
  <c r="H614" i="1" s="1"/>
  <c r="N614" i="1"/>
  <c r="M614" i="1"/>
  <c r="L614" i="1"/>
  <c r="K614" i="1"/>
  <c r="J614" i="1"/>
  <c r="I614" i="1"/>
  <c r="G614" i="1"/>
  <c r="F614" i="1"/>
  <c r="B614" i="1"/>
  <c r="Q613" i="1"/>
  <c r="H613" i="1" s="1"/>
  <c r="N613" i="1"/>
  <c r="M613" i="1"/>
  <c r="L613" i="1"/>
  <c r="K613" i="1"/>
  <c r="J613" i="1"/>
  <c r="I613" i="1"/>
  <c r="G613" i="1"/>
  <c r="F613" i="1"/>
  <c r="B613" i="1"/>
  <c r="Q612" i="1"/>
  <c r="H612" i="1" s="1"/>
  <c r="N612" i="1"/>
  <c r="M612" i="1"/>
  <c r="L612" i="1"/>
  <c r="K612" i="1"/>
  <c r="J612" i="1"/>
  <c r="I612" i="1"/>
  <c r="G612" i="1"/>
  <c r="F612" i="1"/>
  <c r="B612" i="1"/>
  <c r="Q611" i="1"/>
  <c r="H611" i="1" s="1"/>
  <c r="N611" i="1"/>
  <c r="M611" i="1"/>
  <c r="L611" i="1"/>
  <c r="K611" i="1"/>
  <c r="J611" i="1"/>
  <c r="I611" i="1"/>
  <c r="G611" i="1"/>
  <c r="F611" i="1"/>
  <c r="B611" i="1"/>
  <c r="Q610" i="1"/>
  <c r="H610" i="1" s="1"/>
  <c r="N610" i="1"/>
  <c r="M610" i="1"/>
  <c r="L610" i="1"/>
  <c r="K610" i="1"/>
  <c r="J610" i="1"/>
  <c r="I610" i="1"/>
  <c r="G610" i="1"/>
  <c r="F610" i="1"/>
  <c r="B610" i="1"/>
  <c r="Q609" i="1"/>
  <c r="H609" i="1" s="1"/>
  <c r="N609" i="1"/>
  <c r="M609" i="1"/>
  <c r="L609" i="1"/>
  <c r="K609" i="1"/>
  <c r="J609" i="1"/>
  <c r="I609" i="1"/>
  <c r="G609" i="1"/>
  <c r="F609" i="1"/>
  <c r="B609" i="1"/>
  <c r="A609" i="1"/>
  <c r="C609" i="1" s="1"/>
  <c r="Q608" i="1"/>
  <c r="H608" i="1" s="1"/>
  <c r="N608" i="1"/>
  <c r="M608" i="1"/>
  <c r="L608" i="1"/>
  <c r="K608" i="1"/>
  <c r="J608" i="1"/>
  <c r="I608" i="1"/>
  <c r="G608" i="1"/>
  <c r="F608" i="1"/>
  <c r="B608" i="1"/>
  <c r="A608" i="1"/>
  <c r="C608" i="1" s="1"/>
  <c r="Q607" i="1"/>
  <c r="H607" i="1" s="1"/>
  <c r="N607" i="1"/>
  <c r="M607" i="1"/>
  <c r="L607" i="1"/>
  <c r="K607" i="1"/>
  <c r="J607" i="1"/>
  <c r="I607" i="1"/>
  <c r="G607" i="1"/>
  <c r="F607" i="1"/>
  <c r="B607" i="1"/>
  <c r="Q606" i="1"/>
  <c r="H606" i="1" s="1"/>
  <c r="N606" i="1"/>
  <c r="M606" i="1"/>
  <c r="L606" i="1"/>
  <c r="K606" i="1"/>
  <c r="J606" i="1"/>
  <c r="I606" i="1"/>
  <c r="G606" i="1"/>
  <c r="F606" i="1"/>
  <c r="B606" i="1"/>
  <c r="Q605" i="1"/>
  <c r="H605" i="1" s="1"/>
  <c r="N605" i="1"/>
  <c r="M605" i="1"/>
  <c r="L605" i="1"/>
  <c r="K605" i="1"/>
  <c r="J605" i="1"/>
  <c r="I605" i="1"/>
  <c r="G605" i="1"/>
  <c r="F605" i="1"/>
  <c r="B605" i="1"/>
  <c r="Q604" i="1"/>
  <c r="H604" i="1" s="1"/>
  <c r="N604" i="1"/>
  <c r="M604" i="1"/>
  <c r="L604" i="1"/>
  <c r="K604" i="1"/>
  <c r="J604" i="1"/>
  <c r="I604" i="1"/>
  <c r="G604" i="1"/>
  <c r="F604" i="1"/>
  <c r="B604" i="1"/>
  <c r="Q603" i="1"/>
  <c r="H603" i="1" s="1"/>
  <c r="N603" i="1"/>
  <c r="M603" i="1"/>
  <c r="L603" i="1"/>
  <c r="K603" i="1"/>
  <c r="J603" i="1"/>
  <c r="I603" i="1"/>
  <c r="G603" i="1"/>
  <c r="F603" i="1"/>
  <c r="B603" i="1"/>
  <c r="Q602" i="1"/>
  <c r="H602" i="1" s="1"/>
  <c r="N602" i="1"/>
  <c r="M602" i="1"/>
  <c r="L602" i="1"/>
  <c r="K602" i="1"/>
  <c r="J602" i="1"/>
  <c r="I602" i="1"/>
  <c r="G602" i="1"/>
  <c r="F602" i="1"/>
  <c r="B602" i="1"/>
  <c r="Q601" i="1"/>
  <c r="H601" i="1" s="1"/>
  <c r="N601" i="1"/>
  <c r="M601" i="1"/>
  <c r="L601" i="1"/>
  <c r="K601" i="1"/>
  <c r="J601" i="1"/>
  <c r="I601" i="1"/>
  <c r="G601" i="1"/>
  <c r="F601" i="1"/>
  <c r="B601" i="1"/>
  <c r="Q600" i="1"/>
  <c r="H600" i="1" s="1"/>
  <c r="N600" i="1"/>
  <c r="M600" i="1"/>
  <c r="L600" i="1"/>
  <c r="K600" i="1"/>
  <c r="J600" i="1"/>
  <c r="I600" i="1"/>
  <c r="G600" i="1"/>
  <c r="F600" i="1"/>
  <c r="B600" i="1"/>
  <c r="A600" i="1"/>
  <c r="C600" i="1" s="1"/>
  <c r="Q599" i="1"/>
  <c r="H599" i="1" s="1"/>
  <c r="N599" i="1"/>
  <c r="M599" i="1"/>
  <c r="L599" i="1"/>
  <c r="K599" i="1"/>
  <c r="J599" i="1"/>
  <c r="I599" i="1"/>
  <c r="G599" i="1"/>
  <c r="F599" i="1"/>
  <c r="B599" i="1"/>
  <c r="Q598" i="1"/>
  <c r="H598" i="1" s="1"/>
  <c r="N598" i="1"/>
  <c r="M598" i="1"/>
  <c r="L598" i="1"/>
  <c r="K598" i="1"/>
  <c r="J598" i="1"/>
  <c r="I598" i="1"/>
  <c r="G598" i="1"/>
  <c r="F598" i="1"/>
  <c r="B598" i="1"/>
  <c r="Q597" i="1"/>
  <c r="H597" i="1" s="1"/>
  <c r="N597" i="1"/>
  <c r="M597" i="1"/>
  <c r="L597" i="1"/>
  <c r="K597" i="1"/>
  <c r="J597" i="1"/>
  <c r="I597" i="1"/>
  <c r="G597" i="1"/>
  <c r="F597" i="1"/>
  <c r="B597" i="1"/>
  <c r="Q596" i="1"/>
  <c r="H596" i="1" s="1"/>
  <c r="N596" i="1"/>
  <c r="M596" i="1"/>
  <c r="L596" i="1"/>
  <c r="K596" i="1"/>
  <c r="J596" i="1"/>
  <c r="I596" i="1"/>
  <c r="G596" i="1"/>
  <c r="F596" i="1"/>
  <c r="B596" i="1"/>
  <c r="Q595" i="1"/>
  <c r="H595" i="1" s="1"/>
  <c r="N595" i="1"/>
  <c r="M595" i="1"/>
  <c r="L595" i="1"/>
  <c r="K595" i="1"/>
  <c r="J595" i="1"/>
  <c r="I595" i="1"/>
  <c r="G595" i="1"/>
  <c r="F595" i="1"/>
  <c r="B595" i="1"/>
  <c r="Q594" i="1"/>
  <c r="H594" i="1" s="1"/>
  <c r="N594" i="1"/>
  <c r="M594" i="1"/>
  <c r="L594" i="1"/>
  <c r="K594" i="1"/>
  <c r="J594" i="1"/>
  <c r="I594" i="1"/>
  <c r="G594" i="1"/>
  <c r="F594" i="1"/>
  <c r="B594" i="1"/>
  <c r="Q593" i="1"/>
  <c r="H593" i="1" s="1"/>
  <c r="N593" i="1"/>
  <c r="M593" i="1"/>
  <c r="L593" i="1"/>
  <c r="K593" i="1"/>
  <c r="J593" i="1"/>
  <c r="I593" i="1"/>
  <c r="G593" i="1"/>
  <c r="F593" i="1"/>
  <c r="B593" i="1"/>
  <c r="A593" i="1"/>
  <c r="C593" i="1" s="1"/>
  <c r="Q592" i="1"/>
  <c r="H592" i="1" s="1"/>
  <c r="N592" i="1"/>
  <c r="M592" i="1"/>
  <c r="L592" i="1"/>
  <c r="K592" i="1"/>
  <c r="J592" i="1"/>
  <c r="I592" i="1"/>
  <c r="G592" i="1"/>
  <c r="F592" i="1"/>
  <c r="B592" i="1"/>
  <c r="Q591" i="1"/>
  <c r="H591" i="1" s="1"/>
  <c r="N591" i="1"/>
  <c r="M591" i="1"/>
  <c r="L591" i="1"/>
  <c r="K591" i="1"/>
  <c r="J591" i="1"/>
  <c r="I591" i="1"/>
  <c r="G591" i="1"/>
  <c r="F591" i="1"/>
  <c r="B591" i="1"/>
  <c r="Q590" i="1"/>
  <c r="H590" i="1" s="1"/>
  <c r="N590" i="1"/>
  <c r="M590" i="1"/>
  <c r="L590" i="1"/>
  <c r="K590" i="1"/>
  <c r="J590" i="1"/>
  <c r="I590" i="1"/>
  <c r="G590" i="1"/>
  <c r="F590" i="1"/>
  <c r="B590" i="1"/>
  <c r="Q589" i="1"/>
  <c r="H589" i="1" s="1"/>
  <c r="N589" i="1"/>
  <c r="M589" i="1"/>
  <c r="L589" i="1"/>
  <c r="K589" i="1"/>
  <c r="J589" i="1"/>
  <c r="I589" i="1"/>
  <c r="G589" i="1"/>
  <c r="F589" i="1"/>
  <c r="B589" i="1"/>
  <c r="Q588" i="1"/>
  <c r="H588" i="1" s="1"/>
  <c r="N588" i="1"/>
  <c r="M588" i="1"/>
  <c r="L588" i="1"/>
  <c r="K588" i="1"/>
  <c r="J588" i="1"/>
  <c r="I588" i="1"/>
  <c r="G588" i="1"/>
  <c r="F588" i="1"/>
  <c r="B588" i="1"/>
  <c r="Q587" i="1"/>
  <c r="H587" i="1" s="1"/>
  <c r="N587" i="1"/>
  <c r="M587" i="1"/>
  <c r="L587" i="1"/>
  <c r="K587" i="1"/>
  <c r="J587" i="1"/>
  <c r="I587" i="1"/>
  <c r="G587" i="1"/>
  <c r="F587" i="1"/>
  <c r="B587" i="1"/>
  <c r="Q586" i="1"/>
  <c r="H586" i="1" s="1"/>
  <c r="N586" i="1"/>
  <c r="M586" i="1"/>
  <c r="L586" i="1"/>
  <c r="K586" i="1"/>
  <c r="J586" i="1"/>
  <c r="I586" i="1"/>
  <c r="G586" i="1"/>
  <c r="F586" i="1"/>
  <c r="B586" i="1"/>
  <c r="Q585" i="1"/>
  <c r="H585" i="1" s="1"/>
  <c r="N585" i="1"/>
  <c r="M585" i="1"/>
  <c r="L585" i="1"/>
  <c r="K585" i="1"/>
  <c r="J585" i="1"/>
  <c r="I585" i="1"/>
  <c r="G585" i="1"/>
  <c r="F585" i="1"/>
  <c r="B585" i="1"/>
  <c r="Q584" i="1"/>
  <c r="H584" i="1" s="1"/>
  <c r="N584" i="1"/>
  <c r="M584" i="1"/>
  <c r="L584" i="1"/>
  <c r="K584" i="1"/>
  <c r="J584" i="1"/>
  <c r="I584" i="1"/>
  <c r="G584" i="1"/>
  <c r="F584" i="1"/>
  <c r="B584" i="1"/>
  <c r="A584" i="1"/>
  <c r="Q583" i="1"/>
  <c r="H583" i="1" s="1"/>
  <c r="N583" i="1"/>
  <c r="M583" i="1"/>
  <c r="L583" i="1"/>
  <c r="K583" i="1"/>
  <c r="J583" i="1"/>
  <c r="I583" i="1"/>
  <c r="G583" i="1"/>
  <c r="F583" i="1"/>
  <c r="B583" i="1"/>
  <c r="Q582" i="1"/>
  <c r="H582" i="1" s="1"/>
  <c r="N582" i="1"/>
  <c r="M582" i="1"/>
  <c r="L582" i="1"/>
  <c r="K582" i="1"/>
  <c r="J582" i="1"/>
  <c r="I582" i="1"/>
  <c r="G582" i="1"/>
  <c r="F582" i="1"/>
  <c r="B582" i="1"/>
  <c r="Q581" i="1"/>
  <c r="H581" i="1" s="1"/>
  <c r="N581" i="1"/>
  <c r="M581" i="1"/>
  <c r="L581" i="1"/>
  <c r="K581" i="1"/>
  <c r="J581" i="1"/>
  <c r="I581" i="1"/>
  <c r="G581" i="1"/>
  <c r="F581" i="1"/>
  <c r="B581" i="1"/>
  <c r="Q580" i="1"/>
  <c r="H580" i="1" s="1"/>
  <c r="N580" i="1"/>
  <c r="M580" i="1"/>
  <c r="L580" i="1"/>
  <c r="K580" i="1"/>
  <c r="J580" i="1"/>
  <c r="I580" i="1"/>
  <c r="G580" i="1"/>
  <c r="F580" i="1"/>
  <c r="B580" i="1"/>
  <c r="Q579" i="1"/>
  <c r="H579" i="1" s="1"/>
  <c r="N579" i="1"/>
  <c r="M579" i="1"/>
  <c r="L579" i="1"/>
  <c r="K579" i="1"/>
  <c r="J579" i="1"/>
  <c r="I579" i="1"/>
  <c r="G579" i="1"/>
  <c r="F579" i="1"/>
  <c r="B579" i="1"/>
  <c r="Q578" i="1"/>
  <c r="H578" i="1" s="1"/>
  <c r="N578" i="1"/>
  <c r="M578" i="1"/>
  <c r="L578" i="1"/>
  <c r="K578" i="1"/>
  <c r="J578" i="1"/>
  <c r="I578" i="1"/>
  <c r="G578" i="1"/>
  <c r="F578" i="1"/>
  <c r="B578" i="1"/>
  <c r="Q577" i="1"/>
  <c r="H577" i="1" s="1"/>
  <c r="N577" i="1"/>
  <c r="M577" i="1"/>
  <c r="L577" i="1"/>
  <c r="K577" i="1"/>
  <c r="J577" i="1"/>
  <c r="I577" i="1"/>
  <c r="G577" i="1"/>
  <c r="F577" i="1"/>
  <c r="B577" i="1"/>
  <c r="Q576" i="1"/>
  <c r="H576" i="1" s="1"/>
  <c r="N576" i="1"/>
  <c r="M576" i="1"/>
  <c r="L576" i="1"/>
  <c r="K576" i="1"/>
  <c r="J576" i="1"/>
  <c r="I576" i="1"/>
  <c r="G576" i="1"/>
  <c r="F576" i="1"/>
  <c r="B576" i="1"/>
  <c r="Q575" i="1"/>
  <c r="H575" i="1" s="1"/>
  <c r="N575" i="1"/>
  <c r="M575" i="1"/>
  <c r="L575" i="1"/>
  <c r="K575" i="1"/>
  <c r="J575" i="1"/>
  <c r="I575" i="1"/>
  <c r="G575" i="1"/>
  <c r="F575" i="1"/>
  <c r="B575" i="1"/>
  <c r="Q574" i="1"/>
  <c r="H574" i="1" s="1"/>
  <c r="N574" i="1"/>
  <c r="M574" i="1"/>
  <c r="L574" i="1"/>
  <c r="K574" i="1"/>
  <c r="J574" i="1"/>
  <c r="I574" i="1"/>
  <c r="G574" i="1"/>
  <c r="F574" i="1"/>
  <c r="B574" i="1"/>
  <c r="Q573" i="1"/>
  <c r="H573" i="1" s="1"/>
  <c r="N573" i="1"/>
  <c r="M573" i="1"/>
  <c r="L573" i="1"/>
  <c r="K573" i="1"/>
  <c r="J573" i="1"/>
  <c r="I573" i="1"/>
  <c r="G573" i="1"/>
  <c r="F573" i="1"/>
  <c r="B573" i="1"/>
  <c r="Q572" i="1"/>
  <c r="H572" i="1" s="1"/>
  <c r="N572" i="1"/>
  <c r="M572" i="1"/>
  <c r="L572" i="1"/>
  <c r="K572" i="1"/>
  <c r="J572" i="1"/>
  <c r="I572" i="1"/>
  <c r="G572" i="1"/>
  <c r="F572" i="1"/>
  <c r="B572" i="1"/>
  <c r="Q571" i="1"/>
  <c r="H571" i="1" s="1"/>
  <c r="N571" i="1"/>
  <c r="M571" i="1"/>
  <c r="L571" i="1"/>
  <c r="K571" i="1"/>
  <c r="J571" i="1"/>
  <c r="I571" i="1"/>
  <c r="G571" i="1"/>
  <c r="F571" i="1"/>
  <c r="B571" i="1"/>
  <c r="Q570" i="1"/>
  <c r="H570" i="1" s="1"/>
  <c r="N570" i="1"/>
  <c r="M570" i="1"/>
  <c r="L570" i="1"/>
  <c r="K570" i="1"/>
  <c r="J570" i="1"/>
  <c r="I570" i="1"/>
  <c r="G570" i="1"/>
  <c r="F570" i="1"/>
  <c r="B570" i="1"/>
  <c r="Q569" i="1"/>
  <c r="H569" i="1" s="1"/>
  <c r="N569" i="1"/>
  <c r="M569" i="1"/>
  <c r="L569" i="1"/>
  <c r="K569" i="1"/>
  <c r="J569" i="1"/>
  <c r="I569" i="1"/>
  <c r="G569" i="1"/>
  <c r="F569" i="1"/>
  <c r="B569" i="1"/>
  <c r="Q568" i="1"/>
  <c r="H568" i="1" s="1"/>
  <c r="N568" i="1"/>
  <c r="M568" i="1"/>
  <c r="L568" i="1"/>
  <c r="K568" i="1"/>
  <c r="J568" i="1"/>
  <c r="I568" i="1"/>
  <c r="G568" i="1"/>
  <c r="F568" i="1"/>
  <c r="B568" i="1"/>
  <c r="A568" i="1"/>
  <c r="C568" i="1" s="1"/>
  <c r="Q567" i="1"/>
  <c r="H567" i="1" s="1"/>
  <c r="N567" i="1"/>
  <c r="M567" i="1"/>
  <c r="L567" i="1"/>
  <c r="K567" i="1"/>
  <c r="J567" i="1"/>
  <c r="I567" i="1"/>
  <c r="G567" i="1"/>
  <c r="F567" i="1"/>
  <c r="B567" i="1"/>
  <c r="Q566" i="1"/>
  <c r="H566" i="1" s="1"/>
  <c r="N566" i="1"/>
  <c r="M566" i="1"/>
  <c r="L566" i="1"/>
  <c r="K566" i="1"/>
  <c r="J566" i="1"/>
  <c r="I566" i="1"/>
  <c r="G566" i="1"/>
  <c r="F566" i="1"/>
  <c r="B566" i="1"/>
  <c r="Q565" i="1"/>
  <c r="H565" i="1" s="1"/>
  <c r="N565" i="1"/>
  <c r="M565" i="1"/>
  <c r="L565" i="1"/>
  <c r="K565" i="1"/>
  <c r="J565" i="1"/>
  <c r="I565" i="1"/>
  <c r="G565" i="1"/>
  <c r="F565" i="1"/>
  <c r="B565" i="1"/>
  <c r="Q564" i="1"/>
  <c r="H564" i="1" s="1"/>
  <c r="N564" i="1"/>
  <c r="M564" i="1"/>
  <c r="L564" i="1"/>
  <c r="K564" i="1"/>
  <c r="J564" i="1"/>
  <c r="I564" i="1"/>
  <c r="G564" i="1"/>
  <c r="F564" i="1"/>
  <c r="B564" i="1"/>
  <c r="Q563" i="1"/>
  <c r="H563" i="1" s="1"/>
  <c r="N563" i="1"/>
  <c r="M563" i="1"/>
  <c r="L563" i="1"/>
  <c r="K563" i="1"/>
  <c r="J563" i="1"/>
  <c r="I563" i="1"/>
  <c r="G563" i="1"/>
  <c r="F563" i="1"/>
  <c r="B563" i="1"/>
  <c r="Q562" i="1"/>
  <c r="H562" i="1" s="1"/>
  <c r="N562" i="1"/>
  <c r="M562" i="1"/>
  <c r="L562" i="1"/>
  <c r="K562" i="1"/>
  <c r="J562" i="1"/>
  <c r="I562" i="1"/>
  <c r="G562" i="1"/>
  <c r="F562" i="1"/>
  <c r="B562" i="1"/>
  <c r="Q561" i="1"/>
  <c r="H561" i="1" s="1"/>
  <c r="N561" i="1"/>
  <c r="M561" i="1"/>
  <c r="L561" i="1"/>
  <c r="K561" i="1"/>
  <c r="J561" i="1"/>
  <c r="I561" i="1"/>
  <c r="G561" i="1"/>
  <c r="F561" i="1"/>
  <c r="B561" i="1"/>
  <c r="A561" i="1"/>
  <c r="C561" i="1" s="1"/>
  <c r="Q560" i="1"/>
  <c r="H560" i="1" s="1"/>
  <c r="N560" i="1"/>
  <c r="M560" i="1"/>
  <c r="L560" i="1"/>
  <c r="K560" i="1"/>
  <c r="J560" i="1"/>
  <c r="I560" i="1"/>
  <c r="G560" i="1"/>
  <c r="F560" i="1"/>
  <c r="B560" i="1"/>
  <c r="Q559" i="1"/>
  <c r="H559" i="1" s="1"/>
  <c r="N559" i="1"/>
  <c r="M559" i="1"/>
  <c r="L559" i="1"/>
  <c r="K559" i="1"/>
  <c r="J559" i="1"/>
  <c r="I559" i="1"/>
  <c r="G559" i="1"/>
  <c r="F559" i="1"/>
  <c r="B559" i="1"/>
  <c r="Q558" i="1"/>
  <c r="H558" i="1" s="1"/>
  <c r="N558" i="1"/>
  <c r="M558" i="1"/>
  <c r="L558" i="1"/>
  <c r="K558" i="1"/>
  <c r="J558" i="1"/>
  <c r="I558" i="1"/>
  <c r="G558" i="1"/>
  <c r="F558" i="1"/>
  <c r="B558" i="1"/>
  <c r="Q557" i="1"/>
  <c r="H557" i="1" s="1"/>
  <c r="N557" i="1"/>
  <c r="M557" i="1"/>
  <c r="L557" i="1"/>
  <c r="K557" i="1"/>
  <c r="J557" i="1"/>
  <c r="I557" i="1"/>
  <c r="G557" i="1"/>
  <c r="F557" i="1"/>
  <c r="B557" i="1"/>
  <c r="Q556" i="1"/>
  <c r="H556" i="1" s="1"/>
  <c r="N556" i="1"/>
  <c r="M556" i="1"/>
  <c r="L556" i="1"/>
  <c r="K556" i="1"/>
  <c r="J556" i="1"/>
  <c r="I556" i="1"/>
  <c r="G556" i="1"/>
  <c r="F556" i="1"/>
  <c r="B556" i="1"/>
  <c r="Q555" i="1"/>
  <c r="H555" i="1" s="1"/>
  <c r="N555" i="1"/>
  <c r="M555" i="1"/>
  <c r="L555" i="1"/>
  <c r="K555" i="1"/>
  <c r="J555" i="1"/>
  <c r="I555" i="1"/>
  <c r="G555" i="1"/>
  <c r="F555" i="1"/>
  <c r="B555" i="1"/>
  <c r="Q554" i="1"/>
  <c r="H554" i="1" s="1"/>
  <c r="N554" i="1"/>
  <c r="M554" i="1"/>
  <c r="L554" i="1"/>
  <c r="K554" i="1"/>
  <c r="J554" i="1"/>
  <c r="I554" i="1"/>
  <c r="G554" i="1"/>
  <c r="F554" i="1"/>
  <c r="B554" i="1"/>
  <c r="Q553" i="1"/>
  <c r="H553" i="1" s="1"/>
  <c r="N553" i="1"/>
  <c r="M553" i="1"/>
  <c r="L553" i="1"/>
  <c r="K553" i="1"/>
  <c r="J553" i="1"/>
  <c r="I553" i="1"/>
  <c r="G553" i="1"/>
  <c r="F553" i="1"/>
  <c r="B553" i="1"/>
  <c r="Q552" i="1"/>
  <c r="H552" i="1" s="1"/>
  <c r="N552" i="1"/>
  <c r="M552" i="1"/>
  <c r="L552" i="1"/>
  <c r="K552" i="1"/>
  <c r="J552" i="1"/>
  <c r="I552" i="1"/>
  <c r="G552" i="1"/>
  <c r="F552" i="1"/>
  <c r="B552" i="1"/>
  <c r="Q551" i="1"/>
  <c r="H551" i="1" s="1"/>
  <c r="N551" i="1"/>
  <c r="M551" i="1"/>
  <c r="L551" i="1"/>
  <c r="K551" i="1"/>
  <c r="J551" i="1"/>
  <c r="I551" i="1"/>
  <c r="G551" i="1"/>
  <c r="F551" i="1"/>
  <c r="B551" i="1"/>
  <c r="Q550" i="1"/>
  <c r="H550" i="1" s="1"/>
  <c r="N550" i="1"/>
  <c r="M550" i="1"/>
  <c r="L550" i="1"/>
  <c r="K550" i="1"/>
  <c r="J550" i="1"/>
  <c r="I550" i="1"/>
  <c r="G550" i="1"/>
  <c r="F550" i="1"/>
  <c r="B550" i="1"/>
  <c r="Q549" i="1"/>
  <c r="H549" i="1" s="1"/>
  <c r="N549" i="1"/>
  <c r="M549" i="1"/>
  <c r="L549" i="1"/>
  <c r="K549" i="1"/>
  <c r="J549" i="1"/>
  <c r="I549" i="1"/>
  <c r="G549" i="1"/>
  <c r="F549" i="1"/>
  <c r="B549" i="1"/>
  <c r="Q548" i="1"/>
  <c r="H548" i="1" s="1"/>
  <c r="N548" i="1"/>
  <c r="M548" i="1"/>
  <c r="L548" i="1"/>
  <c r="K548" i="1"/>
  <c r="J548" i="1"/>
  <c r="I548" i="1"/>
  <c r="G548" i="1"/>
  <c r="F548" i="1"/>
  <c r="B548" i="1"/>
  <c r="Q547" i="1"/>
  <c r="H547" i="1" s="1"/>
  <c r="N547" i="1"/>
  <c r="M547" i="1"/>
  <c r="L547" i="1"/>
  <c r="K547" i="1"/>
  <c r="J547" i="1"/>
  <c r="I547" i="1"/>
  <c r="G547" i="1"/>
  <c r="F547" i="1"/>
  <c r="B547" i="1"/>
  <c r="Q546" i="1"/>
  <c r="H546" i="1" s="1"/>
  <c r="N546" i="1"/>
  <c r="M546" i="1"/>
  <c r="L546" i="1"/>
  <c r="K546" i="1"/>
  <c r="J546" i="1"/>
  <c r="I546" i="1"/>
  <c r="G546" i="1"/>
  <c r="F546" i="1"/>
  <c r="B546" i="1"/>
  <c r="Q545" i="1"/>
  <c r="H545" i="1" s="1"/>
  <c r="N545" i="1"/>
  <c r="M545" i="1"/>
  <c r="L545" i="1"/>
  <c r="K545" i="1"/>
  <c r="J545" i="1"/>
  <c r="I545" i="1"/>
  <c r="G545" i="1"/>
  <c r="F545" i="1"/>
  <c r="B545" i="1"/>
  <c r="Q544" i="1"/>
  <c r="H544" i="1" s="1"/>
  <c r="N544" i="1"/>
  <c r="M544" i="1"/>
  <c r="L544" i="1"/>
  <c r="K544" i="1"/>
  <c r="J544" i="1"/>
  <c r="I544" i="1"/>
  <c r="G544" i="1"/>
  <c r="F544" i="1"/>
  <c r="B544" i="1"/>
  <c r="Q543" i="1"/>
  <c r="H543" i="1" s="1"/>
  <c r="N543" i="1"/>
  <c r="M543" i="1"/>
  <c r="L543" i="1"/>
  <c r="K543" i="1"/>
  <c r="J543" i="1"/>
  <c r="I543" i="1"/>
  <c r="G543" i="1"/>
  <c r="F543" i="1"/>
  <c r="B543" i="1"/>
  <c r="Q542" i="1"/>
  <c r="H542" i="1" s="1"/>
  <c r="N542" i="1"/>
  <c r="M542" i="1"/>
  <c r="L542" i="1"/>
  <c r="K542" i="1"/>
  <c r="J542" i="1"/>
  <c r="I542" i="1"/>
  <c r="G542" i="1"/>
  <c r="F542" i="1"/>
  <c r="B542" i="1"/>
  <c r="Q541" i="1"/>
  <c r="H541" i="1" s="1"/>
  <c r="N541" i="1"/>
  <c r="M541" i="1"/>
  <c r="L541" i="1"/>
  <c r="K541" i="1"/>
  <c r="J541" i="1"/>
  <c r="I541" i="1"/>
  <c r="G541" i="1"/>
  <c r="F541" i="1"/>
  <c r="B541" i="1"/>
  <c r="Q540" i="1"/>
  <c r="H540" i="1" s="1"/>
  <c r="N540" i="1"/>
  <c r="M540" i="1"/>
  <c r="L540" i="1"/>
  <c r="K540" i="1"/>
  <c r="J540" i="1"/>
  <c r="I540" i="1"/>
  <c r="G540" i="1"/>
  <c r="F540" i="1"/>
  <c r="B540" i="1"/>
  <c r="Q539" i="1"/>
  <c r="H539" i="1" s="1"/>
  <c r="N539" i="1"/>
  <c r="M539" i="1"/>
  <c r="L539" i="1"/>
  <c r="K539" i="1"/>
  <c r="J539" i="1"/>
  <c r="I539" i="1"/>
  <c r="G539" i="1"/>
  <c r="F539" i="1"/>
  <c r="B539" i="1"/>
  <c r="Q538" i="1"/>
  <c r="H538" i="1" s="1"/>
  <c r="N538" i="1"/>
  <c r="M538" i="1"/>
  <c r="L538" i="1"/>
  <c r="K538" i="1"/>
  <c r="J538" i="1"/>
  <c r="I538" i="1"/>
  <c r="G538" i="1"/>
  <c r="F538" i="1"/>
  <c r="B538" i="1"/>
  <c r="Q537" i="1"/>
  <c r="H537" i="1" s="1"/>
  <c r="N537" i="1"/>
  <c r="M537" i="1"/>
  <c r="L537" i="1"/>
  <c r="K537" i="1"/>
  <c r="J537" i="1"/>
  <c r="I537" i="1"/>
  <c r="G537" i="1"/>
  <c r="F537" i="1"/>
  <c r="B537" i="1"/>
  <c r="Q536" i="1"/>
  <c r="H536" i="1" s="1"/>
  <c r="N536" i="1"/>
  <c r="M536" i="1"/>
  <c r="L536" i="1"/>
  <c r="K536" i="1"/>
  <c r="J536" i="1"/>
  <c r="I536" i="1"/>
  <c r="G536" i="1"/>
  <c r="F536" i="1"/>
  <c r="B536" i="1"/>
  <c r="A536" i="1"/>
  <c r="C536" i="1" s="1"/>
  <c r="Q535" i="1"/>
  <c r="H535" i="1" s="1"/>
  <c r="N535" i="1"/>
  <c r="M535" i="1"/>
  <c r="L535" i="1"/>
  <c r="K535" i="1"/>
  <c r="J535" i="1"/>
  <c r="I535" i="1"/>
  <c r="G535" i="1"/>
  <c r="F535" i="1"/>
  <c r="B535" i="1"/>
  <c r="Q534" i="1"/>
  <c r="H534" i="1" s="1"/>
  <c r="N534" i="1"/>
  <c r="M534" i="1"/>
  <c r="L534" i="1"/>
  <c r="K534" i="1"/>
  <c r="J534" i="1"/>
  <c r="I534" i="1"/>
  <c r="G534" i="1"/>
  <c r="F534" i="1"/>
  <c r="B534" i="1"/>
  <c r="Q533" i="1"/>
  <c r="H533" i="1" s="1"/>
  <c r="N533" i="1"/>
  <c r="M533" i="1"/>
  <c r="L533" i="1"/>
  <c r="K533" i="1"/>
  <c r="J533" i="1"/>
  <c r="I533" i="1"/>
  <c r="G533" i="1"/>
  <c r="F533" i="1"/>
  <c r="B533" i="1"/>
  <c r="Q532" i="1"/>
  <c r="H532" i="1" s="1"/>
  <c r="N532" i="1"/>
  <c r="M532" i="1"/>
  <c r="L532" i="1"/>
  <c r="K532" i="1"/>
  <c r="J532" i="1"/>
  <c r="I532" i="1"/>
  <c r="G532" i="1"/>
  <c r="F532" i="1"/>
  <c r="B532" i="1"/>
  <c r="Q531" i="1"/>
  <c r="H531" i="1" s="1"/>
  <c r="N531" i="1"/>
  <c r="M531" i="1"/>
  <c r="L531" i="1"/>
  <c r="K531" i="1"/>
  <c r="J531" i="1"/>
  <c r="I531" i="1"/>
  <c r="G531" i="1"/>
  <c r="F531" i="1"/>
  <c r="B531" i="1"/>
  <c r="Q530" i="1"/>
  <c r="H530" i="1" s="1"/>
  <c r="N530" i="1"/>
  <c r="M530" i="1"/>
  <c r="L530" i="1"/>
  <c r="K530" i="1"/>
  <c r="J530" i="1"/>
  <c r="I530" i="1"/>
  <c r="G530" i="1"/>
  <c r="F530" i="1"/>
  <c r="B530" i="1"/>
  <c r="Q529" i="1"/>
  <c r="H529" i="1" s="1"/>
  <c r="N529" i="1"/>
  <c r="M529" i="1"/>
  <c r="L529" i="1"/>
  <c r="K529" i="1"/>
  <c r="J529" i="1"/>
  <c r="I529" i="1"/>
  <c r="G529" i="1"/>
  <c r="F529" i="1"/>
  <c r="B529" i="1"/>
  <c r="Q528" i="1"/>
  <c r="H528" i="1" s="1"/>
  <c r="N528" i="1"/>
  <c r="M528" i="1"/>
  <c r="L528" i="1"/>
  <c r="K528" i="1"/>
  <c r="J528" i="1"/>
  <c r="I528" i="1"/>
  <c r="G528" i="1"/>
  <c r="F528" i="1"/>
  <c r="B528" i="1"/>
  <c r="Q527" i="1"/>
  <c r="H527" i="1" s="1"/>
  <c r="N527" i="1"/>
  <c r="M527" i="1"/>
  <c r="L527" i="1"/>
  <c r="K527" i="1"/>
  <c r="J527" i="1"/>
  <c r="I527" i="1"/>
  <c r="G527" i="1"/>
  <c r="F527" i="1"/>
  <c r="B527" i="1"/>
  <c r="Q526" i="1"/>
  <c r="H526" i="1" s="1"/>
  <c r="N526" i="1"/>
  <c r="M526" i="1"/>
  <c r="L526" i="1"/>
  <c r="K526" i="1"/>
  <c r="J526" i="1"/>
  <c r="I526" i="1"/>
  <c r="G526" i="1"/>
  <c r="F526" i="1"/>
  <c r="B526" i="1"/>
  <c r="Q525" i="1"/>
  <c r="H525" i="1" s="1"/>
  <c r="N525" i="1"/>
  <c r="M525" i="1"/>
  <c r="L525" i="1"/>
  <c r="K525" i="1"/>
  <c r="J525" i="1"/>
  <c r="I525" i="1"/>
  <c r="G525" i="1"/>
  <c r="F525" i="1"/>
  <c r="B525" i="1"/>
  <c r="Q524" i="1"/>
  <c r="H524" i="1" s="1"/>
  <c r="N524" i="1"/>
  <c r="M524" i="1"/>
  <c r="L524" i="1"/>
  <c r="K524" i="1"/>
  <c r="J524" i="1"/>
  <c r="I524" i="1"/>
  <c r="G524" i="1"/>
  <c r="F524" i="1"/>
  <c r="B524" i="1"/>
  <c r="Q523" i="1"/>
  <c r="H523" i="1" s="1"/>
  <c r="N523" i="1"/>
  <c r="M523" i="1"/>
  <c r="L523" i="1"/>
  <c r="K523" i="1"/>
  <c r="J523" i="1"/>
  <c r="I523" i="1"/>
  <c r="G523" i="1"/>
  <c r="F523" i="1"/>
  <c r="B523" i="1"/>
  <c r="Q522" i="1"/>
  <c r="H522" i="1" s="1"/>
  <c r="N522" i="1"/>
  <c r="M522" i="1"/>
  <c r="L522" i="1"/>
  <c r="K522" i="1"/>
  <c r="J522" i="1"/>
  <c r="I522" i="1"/>
  <c r="G522" i="1"/>
  <c r="F522" i="1"/>
  <c r="B522" i="1"/>
  <c r="Q521" i="1"/>
  <c r="H521" i="1" s="1"/>
  <c r="N521" i="1"/>
  <c r="M521" i="1"/>
  <c r="L521" i="1"/>
  <c r="K521" i="1"/>
  <c r="J521" i="1"/>
  <c r="I521" i="1"/>
  <c r="G521" i="1"/>
  <c r="F521" i="1"/>
  <c r="B521" i="1"/>
  <c r="Q520" i="1"/>
  <c r="H520" i="1" s="1"/>
  <c r="N520" i="1"/>
  <c r="M520" i="1"/>
  <c r="L520" i="1"/>
  <c r="K520" i="1"/>
  <c r="J520" i="1"/>
  <c r="I520" i="1"/>
  <c r="G520" i="1"/>
  <c r="F520" i="1"/>
  <c r="B520" i="1"/>
  <c r="A520" i="1"/>
  <c r="C520" i="1" s="1"/>
  <c r="Q519" i="1"/>
  <c r="H519" i="1" s="1"/>
  <c r="N519" i="1"/>
  <c r="M519" i="1"/>
  <c r="L519" i="1"/>
  <c r="K519" i="1"/>
  <c r="J519" i="1"/>
  <c r="I519" i="1"/>
  <c r="G519" i="1"/>
  <c r="F519" i="1"/>
  <c r="B519" i="1"/>
  <c r="Q518" i="1"/>
  <c r="H518" i="1" s="1"/>
  <c r="N518" i="1"/>
  <c r="M518" i="1"/>
  <c r="L518" i="1"/>
  <c r="K518" i="1"/>
  <c r="J518" i="1"/>
  <c r="I518" i="1"/>
  <c r="G518" i="1"/>
  <c r="F518" i="1"/>
  <c r="B518" i="1"/>
  <c r="Q517" i="1"/>
  <c r="H517" i="1" s="1"/>
  <c r="N517" i="1"/>
  <c r="M517" i="1"/>
  <c r="L517" i="1"/>
  <c r="K517" i="1"/>
  <c r="J517" i="1"/>
  <c r="I517" i="1"/>
  <c r="G517" i="1"/>
  <c r="F517" i="1"/>
  <c r="B517" i="1"/>
  <c r="Q516" i="1"/>
  <c r="H516" i="1" s="1"/>
  <c r="N516" i="1"/>
  <c r="M516" i="1"/>
  <c r="L516" i="1"/>
  <c r="K516" i="1"/>
  <c r="J516" i="1"/>
  <c r="I516" i="1"/>
  <c r="G516" i="1"/>
  <c r="F516" i="1"/>
  <c r="B516" i="1"/>
  <c r="Q515" i="1"/>
  <c r="H515" i="1" s="1"/>
  <c r="N515" i="1"/>
  <c r="M515" i="1"/>
  <c r="L515" i="1"/>
  <c r="K515" i="1"/>
  <c r="J515" i="1"/>
  <c r="I515" i="1"/>
  <c r="G515" i="1"/>
  <c r="F515" i="1"/>
  <c r="B515" i="1"/>
  <c r="Q514" i="1"/>
  <c r="H514" i="1" s="1"/>
  <c r="N514" i="1"/>
  <c r="M514" i="1"/>
  <c r="L514" i="1"/>
  <c r="K514" i="1"/>
  <c r="J514" i="1"/>
  <c r="I514" i="1"/>
  <c r="G514" i="1"/>
  <c r="F514" i="1"/>
  <c r="B514" i="1"/>
  <c r="Q513" i="1"/>
  <c r="H513" i="1" s="1"/>
  <c r="N513" i="1"/>
  <c r="M513" i="1"/>
  <c r="L513" i="1"/>
  <c r="K513" i="1"/>
  <c r="J513" i="1"/>
  <c r="I513" i="1"/>
  <c r="G513" i="1"/>
  <c r="F513" i="1"/>
  <c r="B513" i="1"/>
  <c r="Q512" i="1"/>
  <c r="H512" i="1" s="1"/>
  <c r="N512" i="1"/>
  <c r="M512" i="1"/>
  <c r="L512" i="1"/>
  <c r="K512" i="1"/>
  <c r="J512" i="1"/>
  <c r="I512" i="1"/>
  <c r="G512" i="1"/>
  <c r="F512" i="1"/>
  <c r="B512" i="1"/>
  <c r="Q511" i="1"/>
  <c r="H511" i="1" s="1"/>
  <c r="N511" i="1"/>
  <c r="M511" i="1"/>
  <c r="L511" i="1"/>
  <c r="K511" i="1"/>
  <c r="J511" i="1"/>
  <c r="I511" i="1"/>
  <c r="G511" i="1"/>
  <c r="F511" i="1"/>
  <c r="B511" i="1"/>
  <c r="Q510" i="1"/>
  <c r="H510" i="1" s="1"/>
  <c r="N510" i="1"/>
  <c r="M510" i="1"/>
  <c r="L510" i="1"/>
  <c r="K510" i="1"/>
  <c r="J510" i="1"/>
  <c r="I510" i="1"/>
  <c r="G510" i="1"/>
  <c r="F510" i="1"/>
  <c r="B510" i="1"/>
  <c r="Q509" i="1"/>
  <c r="H509" i="1" s="1"/>
  <c r="N509" i="1"/>
  <c r="M509" i="1"/>
  <c r="L509" i="1"/>
  <c r="K509" i="1"/>
  <c r="J509" i="1"/>
  <c r="I509" i="1"/>
  <c r="G509" i="1"/>
  <c r="F509" i="1"/>
  <c r="B509" i="1"/>
  <c r="Q508" i="1"/>
  <c r="H508" i="1" s="1"/>
  <c r="N508" i="1"/>
  <c r="M508" i="1"/>
  <c r="L508" i="1"/>
  <c r="K508" i="1"/>
  <c r="J508" i="1"/>
  <c r="I508" i="1"/>
  <c r="G508" i="1"/>
  <c r="F508" i="1"/>
  <c r="B508" i="1"/>
  <c r="Q507" i="1"/>
  <c r="H507" i="1" s="1"/>
  <c r="N507" i="1"/>
  <c r="M507" i="1"/>
  <c r="L507" i="1"/>
  <c r="K507" i="1"/>
  <c r="J507" i="1"/>
  <c r="I507" i="1"/>
  <c r="G507" i="1"/>
  <c r="F507" i="1"/>
  <c r="B507" i="1"/>
  <c r="Q506" i="1"/>
  <c r="H506" i="1" s="1"/>
  <c r="N506" i="1"/>
  <c r="M506" i="1"/>
  <c r="L506" i="1"/>
  <c r="K506" i="1"/>
  <c r="J506" i="1"/>
  <c r="I506" i="1"/>
  <c r="G506" i="1"/>
  <c r="F506" i="1"/>
  <c r="B506" i="1"/>
  <c r="Q505" i="1"/>
  <c r="H505" i="1" s="1"/>
  <c r="N505" i="1"/>
  <c r="M505" i="1"/>
  <c r="L505" i="1"/>
  <c r="K505" i="1"/>
  <c r="J505" i="1"/>
  <c r="I505" i="1"/>
  <c r="G505" i="1"/>
  <c r="F505" i="1"/>
  <c r="B505" i="1"/>
  <c r="Q504" i="1"/>
  <c r="H504" i="1" s="1"/>
  <c r="N504" i="1"/>
  <c r="M504" i="1"/>
  <c r="L504" i="1"/>
  <c r="K504" i="1"/>
  <c r="J504" i="1"/>
  <c r="I504" i="1"/>
  <c r="G504" i="1"/>
  <c r="F504" i="1"/>
  <c r="B504" i="1"/>
  <c r="Q503" i="1"/>
  <c r="H503" i="1" s="1"/>
  <c r="N503" i="1"/>
  <c r="M503" i="1"/>
  <c r="L503" i="1"/>
  <c r="K503" i="1"/>
  <c r="J503" i="1"/>
  <c r="I503" i="1"/>
  <c r="G503" i="1"/>
  <c r="F503" i="1"/>
  <c r="B503" i="1"/>
  <c r="Q502" i="1"/>
  <c r="H502" i="1" s="1"/>
  <c r="N502" i="1"/>
  <c r="M502" i="1"/>
  <c r="L502" i="1"/>
  <c r="K502" i="1"/>
  <c r="J502" i="1"/>
  <c r="I502" i="1"/>
  <c r="G502" i="1"/>
  <c r="F502" i="1"/>
  <c r="B502" i="1"/>
  <c r="Q501" i="1"/>
  <c r="H501" i="1" s="1"/>
  <c r="N501" i="1"/>
  <c r="M501" i="1"/>
  <c r="L501" i="1"/>
  <c r="K501" i="1"/>
  <c r="J501" i="1"/>
  <c r="I501" i="1"/>
  <c r="G501" i="1"/>
  <c r="F501" i="1"/>
  <c r="B501" i="1"/>
  <c r="Q500" i="1"/>
  <c r="H500" i="1" s="1"/>
  <c r="N500" i="1"/>
  <c r="M500" i="1"/>
  <c r="L500" i="1"/>
  <c r="K500" i="1"/>
  <c r="J500" i="1"/>
  <c r="I500" i="1"/>
  <c r="G500" i="1"/>
  <c r="F500" i="1"/>
  <c r="B500" i="1"/>
  <c r="Q499" i="1"/>
  <c r="H499" i="1" s="1"/>
  <c r="N499" i="1"/>
  <c r="M499" i="1"/>
  <c r="L499" i="1"/>
  <c r="K499" i="1"/>
  <c r="J499" i="1"/>
  <c r="I499" i="1"/>
  <c r="G499" i="1"/>
  <c r="F499" i="1"/>
  <c r="B499" i="1"/>
  <c r="Q498" i="1"/>
  <c r="H498" i="1" s="1"/>
  <c r="N498" i="1"/>
  <c r="M498" i="1"/>
  <c r="L498" i="1"/>
  <c r="K498" i="1"/>
  <c r="J498" i="1"/>
  <c r="I498" i="1"/>
  <c r="G498" i="1"/>
  <c r="F498" i="1"/>
  <c r="B498" i="1"/>
  <c r="Q497" i="1"/>
  <c r="H497" i="1" s="1"/>
  <c r="N497" i="1"/>
  <c r="M497" i="1"/>
  <c r="L497" i="1"/>
  <c r="K497" i="1"/>
  <c r="J497" i="1"/>
  <c r="I497" i="1"/>
  <c r="G497" i="1"/>
  <c r="F497" i="1"/>
  <c r="B497" i="1"/>
  <c r="Q496" i="1"/>
  <c r="H496" i="1" s="1"/>
  <c r="N496" i="1"/>
  <c r="M496" i="1"/>
  <c r="L496" i="1"/>
  <c r="K496" i="1"/>
  <c r="J496" i="1"/>
  <c r="I496" i="1"/>
  <c r="G496" i="1"/>
  <c r="F496" i="1"/>
  <c r="B496" i="1"/>
  <c r="Q495" i="1"/>
  <c r="H495" i="1" s="1"/>
  <c r="N495" i="1"/>
  <c r="M495" i="1"/>
  <c r="L495" i="1"/>
  <c r="K495" i="1"/>
  <c r="J495" i="1"/>
  <c r="I495" i="1"/>
  <c r="G495" i="1"/>
  <c r="F495" i="1"/>
  <c r="B495" i="1"/>
  <c r="Q494" i="1"/>
  <c r="H494" i="1" s="1"/>
  <c r="N494" i="1"/>
  <c r="M494" i="1"/>
  <c r="L494" i="1"/>
  <c r="K494" i="1"/>
  <c r="J494" i="1"/>
  <c r="I494" i="1"/>
  <c r="G494" i="1"/>
  <c r="F494" i="1"/>
  <c r="B494" i="1"/>
  <c r="Q493" i="1"/>
  <c r="H493" i="1" s="1"/>
  <c r="N493" i="1"/>
  <c r="M493" i="1"/>
  <c r="L493" i="1"/>
  <c r="K493" i="1"/>
  <c r="J493" i="1"/>
  <c r="I493" i="1"/>
  <c r="G493" i="1"/>
  <c r="F493" i="1"/>
  <c r="B493" i="1"/>
  <c r="Q492" i="1"/>
  <c r="H492" i="1" s="1"/>
  <c r="N492" i="1"/>
  <c r="M492" i="1"/>
  <c r="L492" i="1"/>
  <c r="K492" i="1"/>
  <c r="J492" i="1"/>
  <c r="I492" i="1"/>
  <c r="G492" i="1"/>
  <c r="F492" i="1"/>
  <c r="B492" i="1"/>
  <c r="Q491" i="1"/>
  <c r="H491" i="1" s="1"/>
  <c r="N491" i="1"/>
  <c r="M491" i="1"/>
  <c r="L491" i="1"/>
  <c r="K491" i="1"/>
  <c r="J491" i="1"/>
  <c r="I491" i="1"/>
  <c r="G491" i="1"/>
  <c r="F491" i="1"/>
  <c r="B491" i="1"/>
  <c r="Q490" i="1"/>
  <c r="H490" i="1" s="1"/>
  <c r="N490" i="1"/>
  <c r="M490" i="1"/>
  <c r="L490" i="1"/>
  <c r="K490" i="1"/>
  <c r="J490" i="1"/>
  <c r="I490" i="1"/>
  <c r="G490" i="1"/>
  <c r="F490" i="1"/>
  <c r="B490" i="1"/>
  <c r="Q489" i="1"/>
  <c r="H489" i="1" s="1"/>
  <c r="N489" i="1"/>
  <c r="M489" i="1"/>
  <c r="L489" i="1"/>
  <c r="K489" i="1"/>
  <c r="J489" i="1"/>
  <c r="I489" i="1"/>
  <c r="G489" i="1"/>
  <c r="F489" i="1"/>
  <c r="B489" i="1"/>
  <c r="Q488" i="1"/>
  <c r="H488" i="1" s="1"/>
  <c r="N488" i="1"/>
  <c r="M488" i="1"/>
  <c r="L488" i="1"/>
  <c r="K488" i="1"/>
  <c r="J488" i="1"/>
  <c r="I488" i="1"/>
  <c r="G488" i="1"/>
  <c r="F488" i="1"/>
  <c r="B488" i="1"/>
  <c r="A488" i="1"/>
  <c r="C488" i="1" s="1"/>
  <c r="Q487" i="1"/>
  <c r="H487" i="1" s="1"/>
  <c r="N487" i="1"/>
  <c r="M487" i="1"/>
  <c r="L487" i="1"/>
  <c r="K487" i="1"/>
  <c r="J487" i="1"/>
  <c r="I487" i="1"/>
  <c r="G487" i="1"/>
  <c r="F487" i="1"/>
  <c r="B487" i="1"/>
  <c r="Q486" i="1"/>
  <c r="H486" i="1" s="1"/>
  <c r="N486" i="1"/>
  <c r="M486" i="1"/>
  <c r="L486" i="1"/>
  <c r="K486" i="1"/>
  <c r="J486" i="1"/>
  <c r="I486" i="1"/>
  <c r="G486" i="1"/>
  <c r="F486" i="1"/>
  <c r="B486" i="1"/>
  <c r="Q485" i="1"/>
  <c r="H485" i="1" s="1"/>
  <c r="N485" i="1"/>
  <c r="M485" i="1"/>
  <c r="L485" i="1"/>
  <c r="K485" i="1"/>
  <c r="J485" i="1"/>
  <c r="I485" i="1"/>
  <c r="G485" i="1"/>
  <c r="F485" i="1"/>
  <c r="B485" i="1"/>
  <c r="Q484" i="1"/>
  <c r="H484" i="1" s="1"/>
  <c r="N484" i="1"/>
  <c r="M484" i="1"/>
  <c r="L484" i="1"/>
  <c r="K484" i="1"/>
  <c r="J484" i="1"/>
  <c r="I484" i="1"/>
  <c r="G484" i="1"/>
  <c r="F484" i="1"/>
  <c r="B484" i="1"/>
  <c r="Q483" i="1"/>
  <c r="H483" i="1" s="1"/>
  <c r="N483" i="1"/>
  <c r="M483" i="1"/>
  <c r="L483" i="1"/>
  <c r="K483" i="1"/>
  <c r="J483" i="1"/>
  <c r="I483" i="1"/>
  <c r="G483" i="1"/>
  <c r="F483" i="1"/>
  <c r="B483" i="1"/>
  <c r="Q482" i="1"/>
  <c r="H482" i="1" s="1"/>
  <c r="N482" i="1"/>
  <c r="M482" i="1"/>
  <c r="L482" i="1"/>
  <c r="K482" i="1"/>
  <c r="J482" i="1"/>
  <c r="I482" i="1"/>
  <c r="G482" i="1"/>
  <c r="F482" i="1"/>
  <c r="B482" i="1"/>
  <c r="Q481" i="1"/>
  <c r="H481" i="1" s="1"/>
  <c r="N481" i="1"/>
  <c r="M481" i="1"/>
  <c r="L481" i="1"/>
  <c r="K481" i="1"/>
  <c r="J481" i="1"/>
  <c r="I481" i="1"/>
  <c r="G481" i="1"/>
  <c r="F481" i="1"/>
  <c r="B481" i="1"/>
  <c r="A481" i="1"/>
  <c r="C481" i="1" s="1"/>
  <c r="Q480" i="1"/>
  <c r="H480" i="1" s="1"/>
  <c r="N480" i="1"/>
  <c r="M480" i="1"/>
  <c r="L480" i="1"/>
  <c r="K480" i="1"/>
  <c r="J480" i="1"/>
  <c r="I480" i="1"/>
  <c r="G480" i="1"/>
  <c r="F480" i="1"/>
  <c r="B480" i="1"/>
  <c r="Q479" i="1"/>
  <c r="H479" i="1" s="1"/>
  <c r="N479" i="1"/>
  <c r="M479" i="1"/>
  <c r="L479" i="1"/>
  <c r="K479" i="1"/>
  <c r="J479" i="1"/>
  <c r="I479" i="1"/>
  <c r="G479" i="1"/>
  <c r="F479" i="1"/>
  <c r="B479" i="1"/>
  <c r="Q478" i="1"/>
  <c r="H478" i="1" s="1"/>
  <c r="N478" i="1"/>
  <c r="M478" i="1"/>
  <c r="L478" i="1"/>
  <c r="K478" i="1"/>
  <c r="J478" i="1"/>
  <c r="I478" i="1"/>
  <c r="G478" i="1"/>
  <c r="F478" i="1"/>
  <c r="B478" i="1"/>
  <c r="Q477" i="1"/>
  <c r="H477" i="1" s="1"/>
  <c r="N477" i="1"/>
  <c r="M477" i="1"/>
  <c r="L477" i="1"/>
  <c r="K477" i="1"/>
  <c r="J477" i="1"/>
  <c r="I477" i="1"/>
  <c r="G477" i="1"/>
  <c r="F477" i="1"/>
  <c r="B477" i="1"/>
  <c r="Q476" i="1"/>
  <c r="H476" i="1" s="1"/>
  <c r="N476" i="1"/>
  <c r="M476" i="1"/>
  <c r="L476" i="1"/>
  <c r="K476" i="1"/>
  <c r="J476" i="1"/>
  <c r="I476" i="1"/>
  <c r="G476" i="1"/>
  <c r="F476" i="1"/>
  <c r="B476" i="1"/>
  <c r="Q475" i="1"/>
  <c r="H475" i="1" s="1"/>
  <c r="N475" i="1"/>
  <c r="M475" i="1"/>
  <c r="L475" i="1"/>
  <c r="K475" i="1"/>
  <c r="J475" i="1"/>
  <c r="I475" i="1"/>
  <c r="G475" i="1"/>
  <c r="F475" i="1"/>
  <c r="B475" i="1"/>
  <c r="Q474" i="1"/>
  <c r="H474" i="1" s="1"/>
  <c r="N474" i="1"/>
  <c r="M474" i="1"/>
  <c r="L474" i="1"/>
  <c r="K474" i="1"/>
  <c r="J474" i="1"/>
  <c r="I474" i="1"/>
  <c r="G474" i="1"/>
  <c r="F474" i="1"/>
  <c r="B474" i="1"/>
  <c r="Q473" i="1"/>
  <c r="H473" i="1" s="1"/>
  <c r="N473" i="1"/>
  <c r="M473" i="1"/>
  <c r="L473" i="1"/>
  <c r="K473" i="1"/>
  <c r="J473" i="1"/>
  <c r="I473" i="1"/>
  <c r="G473" i="1"/>
  <c r="F473" i="1"/>
  <c r="B473" i="1"/>
  <c r="Q472" i="1"/>
  <c r="H472" i="1" s="1"/>
  <c r="N472" i="1"/>
  <c r="M472" i="1"/>
  <c r="L472" i="1"/>
  <c r="K472" i="1"/>
  <c r="J472" i="1"/>
  <c r="I472" i="1"/>
  <c r="G472" i="1"/>
  <c r="F472" i="1"/>
  <c r="B472" i="1"/>
  <c r="Q471" i="1"/>
  <c r="H471" i="1" s="1"/>
  <c r="N471" i="1"/>
  <c r="M471" i="1"/>
  <c r="L471" i="1"/>
  <c r="K471" i="1"/>
  <c r="J471" i="1"/>
  <c r="I471" i="1"/>
  <c r="G471" i="1"/>
  <c r="F471" i="1"/>
  <c r="B471" i="1"/>
  <c r="Q470" i="1"/>
  <c r="H470" i="1" s="1"/>
  <c r="N470" i="1"/>
  <c r="M470" i="1"/>
  <c r="L470" i="1"/>
  <c r="K470" i="1"/>
  <c r="J470" i="1"/>
  <c r="I470" i="1"/>
  <c r="G470" i="1"/>
  <c r="F470" i="1"/>
  <c r="B470" i="1"/>
  <c r="Q469" i="1"/>
  <c r="H469" i="1" s="1"/>
  <c r="N469" i="1"/>
  <c r="M469" i="1"/>
  <c r="L469" i="1"/>
  <c r="K469" i="1"/>
  <c r="J469" i="1"/>
  <c r="I469" i="1"/>
  <c r="G469" i="1"/>
  <c r="F469" i="1"/>
  <c r="B469" i="1"/>
  <c r="Q468" i="1"/>
  <c r="H468" i="1" s="1"/>
  <c r="N468" i="1"/>
  <c r="M468" i="1"/>
  <c r="L468" i="1"/>
  <c r="K468" i="1"/>
  <c r="J468" i="1"/>
  <c r="I468" i="1"/>
  <c r="G468" i="1"/>
  <c r="F468" i="1"/>
  <c r="B468" i="1"/>
  <c r="Q467" i="1"/>
  <c r="H467" i="1" s="1"/>
  <c r="N467" i="1"/>
  <c r="M467" i="1"/>
  <c r="L467" i="1"/>
  <c r="K467" i="1"/>
  <c r="J467" i="1"/>
  <c r="I467" i="1"/>
  <c r="G467" i="1"/>
  <c r="F467" i="1"/>
  <c r="B467" i="1"/>
  <c r="Q466" i="1"/>
  <c r="H466" i="1" s="1"/>
  <c r="N466" i="1"/>
  <c r="M466" i="1"/>
  <c r="L466" i="1"/>
  <c r="K466" i="1"/>
  <c r="J466" i="1"/>
  <c r="I466" i="1"/>
  <c r="G466" i="1"/>
  <c r="F466" i="1"/>
  <c r="B466" i="1"/>
  <c r="Q465" i="1"/>
  <c r="H465" i="1" s="1"/>
  <c r="N465" i="1"/>
  <c r="M465" i="1"/>
  <c r="L465" i="1"/>
  <c r="K465" i="1"/>
  <c r="J465" i="1"/>
  <c r="I465" i="1"/>
  <c r="G465" i="1"/>
  <c r="F465" i="1"/>
  <c r="B465" i="1"/>
  <c r="Q464" i="1"/>
  <c r="H464" i="1" s="1"/>
  <c r="N464" i="1"/>
  <c r="M464" i="1"/>
  <c r="L464" i="1"/>
  <c r="K464" i="1"/>
  <c r="J464" i="1"/>
  <c r="I464" i="1"/>
  <c r="G464" i="1"/>
  <c r="F464" i="1"/>
  <c r="B464" i="1"/>
  <c r="Q463" i="1"/>
  <c r="H463" i="1" s="1"/>
  <c r="N463" i="1"/>
  <c r="M463" i="1"/>
  <c r="L463" i="1"/>
  <c r="K463" i="1"/>
  <c r="J463" i="1"/>
  <c r="I463" i="1"/>
  <c r="G463" i="1"/>
  <c r="F463" i="1"/>
  <c r="B463" i="1"/>
  <c r="Q462" i="1"/>
  <c r="H462" i="1" s="1"/>
  <c r="N462" i="1"/>
  <c r="M462" i="1"/>
  <c r="L462" i="1"/>
  <c r="K462" i="1"/>
  <c r="J462" i="1"/>
  <c r="I462" i="1"/>
  <c r="G462" i="1"/>
  <c r="F462" i="1"/>
  <c r="B462" i="1"/>
  <c r="Q461" i="1"/>
  <c r="H461" i="1" s="1"/>
  <c r="N461" i="1"/>
  <c r="M461" i="1"/>
  <c r="L461" i="1"/>
  <c r="K461" i="1"/>
  <c r="J461" i="1"/>
  <c r="I461" i="1"/>
  <c r="G461" i="1"/>
  <c r="F461" i="1"/>
  <c r="B461" i="1"/>
  <c r="Q460" i="1"/>
  <c r="H460" i="1" s="1"/>
  <c r="N460" i="1"/>
  <c r="M460" i="1"/>
  <c r="L460" i="1"/>
  <c r="K460" i="1"/>
  <c r="J460" i="1"/>
  <c r="I460" i="1"/>
  <c r="G460" i="1"/>
  <c r="F460" i="1"/>
  <c r="B460" i="1"/>
  <c r="Q459" i="1"/>
  <c r="H459" i="1" s="1"/>
  <c r="N459" i="1"/>
  <c r="M459" i="1"/>
  <c r="L459" i="1"/>
  <c r="K459" i="1"/>
  <c r="J459" i="1"/>
  <c r="I459" i="1"/>
  <c r="G459" i="1"/>
  <c r="F459" i="1"/>
  <c r="B459" i="1"/>
  <c r="Q458" i="1"/>
  <c r="H458" i="1" s="1"/>
  <c r="N458" i="1"/>
  <c r="M458" i="1"/>
  <c r="L458" i="1"/>
  <c r="K458" i="1"/>
  <c r="J458" i="1"/>
  <c r="I458" i="1"/>
  <c r="G458" i="1"/>
  <c r="F458" i="1"/>
  <c r="B458" i="1"/>
  <c r="Q457" i="1"/>
  <c r="H457" i="1" s="1"/>
  <c r="N457" i="1"/>
  <c r="M457" i="1"/>
  <c r="L457" i="1"/>
  <c r="K457" i="1"/>
  <c r="J457" i="1"/>
  <c r="I457" i="1"/>
  <c r="G457" i="1"/>
  <c r="F457" i="1"/>
  <c r="B457" i="1"/>
  <c r="Q456" i="1"/>
  <c r="H456" i="1" s="1"/>
  <c r="N456" i="1"/>
  <c r="M456" i="1"/>
  <c r="L456" i="1"/>
  <c r="K456" i="1"/>
  <c r="J456" i="1"/>
  <c r="I456" i="1"/>
  <c r="G456" i="1"/>
  <c r="F456" i="1"/>
  <c r="B456" i="1"/>
  <c r="A456" i="1"/>
  <c r="C456" i="1" s="1"/>
  <c r="Q455" i="1"/>
  <c r="H455" i="1" s="1"/>
  <c r="N455" i="1"/>
  <c r="M455" i="1"/>
  <c r="L455" i="1"/>
  <c r="K455" i="1"/>
  <c r="J455" i="1"/>
  <c r="I455" i="1"/>
  <c r="G455" i="1"/>
  <c r="F455" i="1"/>
  <c r="B455" i="1"/>
  <c r="Q454" i="1"/>
  <c r="H454" i="1" s="1"/>
  <c r="N454" i="1"/>
  <c r="M454" i="1"/>
  <c r="L454" i="1"/>
  <c r="K454" i="1"/>
  <c r="J454" i="1"/>
  <c r="I454" i="1"/>
  <c r="G454" i="1"/>
  <c r="F454" i="1"/>
  <c r="B454" i="1"/>
  <c r="Q453" i="1"/>
  <c r="H453" i="1" s="1"/>
  <c r="N453" i="1"/>
  <c r="M453" i="1"/>
  <c r="L453" i="1"/>
  <c r="K453" i="1"/>
  <c r="J453" i="1"/>
  <c r="I453" i="1"/>
  <c r="G453" i="1"/>
  <c r="F453" i="1"/>
  <c r="B453" i="1"/>
  <c r="Q452" i="1"/>
  <c r="H452" i="1" s="1"/>
  <c r="N452" i="1"/>
  <c r="M452" i="1"/>
  <c r="L452" i="1"/>
  <c r="K452" i="1"/>
  <c r="J452" i="1"/>
  <c r="I452" i="1"/>
  <c r="G452" i="1"/>
  <c r="F452" i="1"/>
  <c r="B452" i="1"/>
  <c r="Q451" i="1"/>
  <c r="H451" i="1" s="1"/>
  <c r="N451" i="1"/>
  <c r="M451" i="1"/>
  <c r="L451" i="1"/>
  <c r="K451" i="1"/>
  <c r="J451" i="1"/>
  <c r="I451" i="1"/>
  <c r="G451" i="1"/>
  <c r="F451" i="1"/>
  <c r="B451" i="1"/>
  <c r="Q450" i="1"/>
  <c r="H450" i="1" s="1"/>
  <c r="N450" i="1"/>
  <c r="M450" i="1"/>
  <c r="L450" i="1"/>
  <c r="K450" i="1"/>
  <c r="J450" i="1"/>
  <c r="I450" i="1"/>
  <c r="G450" i="1"/>
  <c r="F450" i="1"/>
  <c r="B450" i="1"/>
  <c r="Q449" i="1"/>
  <c r="H449" i="1" s="1"/>
  <c r="N449" i="1"/>
  <c r="M449" i="1"/>
  <c r="L449" i="1"/>
  <c r="K449" i="1"/>
  <c r="J449" i="1"/>
  <c r="I449" i="1"/>
  <c r="G449" i="1"/>
  <c r="F449" i="1"/>
  <c r="B449" i="1"/>
  <c r="A449" i="1"/>
  <c r="C449" i="1" s="1"/>
  <c r="Q448" i="1"/>
  <c r="H448" i="1" s="1"/>
  <c r="N448" i="1"/>
  <c r="M448" i="1"/>
  <c r="L448" i="1"/>
  <c r="K448" i="1"/>
  <c r="J448" i="1"/>
  <c r="I448" i="1"/>
  <c r="G448" i="1"/>
  <c r="F448" i="1"/>
  <c r="B448" i="1"/>
  <c r="Q447" i="1"/>
  <c r="H447" i="1" s="1"/>
  <c r="N447" i="1"/>
  <c r="M447" i="1"/>
  <c r="L447" i="1"/>
  <c r="K447" i="1"/>
  <c r="J447" i="1"/>
  <c r="I447" i="1"/>
  <c r="G447" i="1"/>
  <c r="F447" i="1"/>
  <c r="B447" i="1"/>
  <c r="Q446" i="1"/>
  <c r="H446" i="1" s="1"/>
  <c r="N446" i="1"/>
  <c r="M446" i="1"/>
  <c r="L446" i="1"/>
  <c r="K446" i="1"/>
  <c r="J446" i="1"/>
  <c r="I446" i="1"/>
  <c r="G446" i="1"/>
  <c r="F446" i="1"/>
  <c r="B446" i="1"/>
  <c r="Q445" i="1"/>
  <c r="H445" i="1" s="1"/>
  <c r="N445" i="1"/>
  <c r="M445" i="1"/>
  <c r="L445" i="1"/>
  <c r="K445" i="1"/>
  <c r="J445" i="1"/>
  <c r="I445" i="1"/>
  <c r="G445" i="1"/>
  <c r="F445" i="1"/>
  <c r="B445" i="1"/>
  <c r="Q444" i="1"/>
  <c r="H444" i="1" s="1"/>
  <c r="N444" i="1"/>
  <c r="M444" i="1"/>
  <c r="L444" i="1"/>
  <c r="K444" i="1"/>
  <c r="J444" i="1"/>
  <c r="I444" i="1"/>
  <c r="G444" i="1"/>
  <c r="F444" i="1"/>
  <c r="B444" i="1"/>
  <c r="Q443" i="1"/>
  <c r="H443" i="1" s="1"/>
  <c r="N443" i="1"/>
  <c r="M443" i="1"/>
  <c r="L443" i="1"/>
  <c r="K443" i="1"/>
  <c r="J443" i="1"/>
  <c r="I443" i="1"/>
  <c r="G443" i="1"/>
  <c r="F443" i="1"/>
  <c r="B443" i="1"/>
  <c r="Q442" i="1"/>
  <c r="H442" i="1" s="1"/>
  <c r="N442" i="1"/>
  <c r="M442" i="1"/>
  <c r="L442" i="1"/>
  <c r="K442" i="1"/>
  <c r="J442" i="1"/>
  <c r="I442" i="1"/>
  <c r="G442" i="1"/>
  <c r="F442" i="1"/>
  <c r="B442" i="1"/>
  <c r="Q441" i="1"/>
  <c r="H441" i="1" s="1"/>
  <c r="N441" i="1"/>
  <c r="M441" i="1"/>
  <c r="L441" i="1"/>
  <c r="K441" i="1"/>
  <c r="J441" i="1"/>
  <c r="I441" i="1"/>
  <c r="G441" i="1"/>
  <c r="F441" i="1"/>
  <c r="B441" i="1"/>
  <c r="Q440" i="1"/>
  <c r="H440" i="1" s="1"/>
  <c r="N440" i="1"/>
  <c r="M440" i="1"/>
  <c r="L440" i="1"/>
  <c r="K440" i="1"/>
  <c r="J440" i="1"/>
  <c r="I440" i="1"/>
  <c r="G440" i="1"/>
  <c r="F440" i="1"/>
  <c r="B440" i="1"/>
  <c r="Q439" i="1"/>
  <c r="H439" i="1" s="1"/>
  <c r="N439" i="1"/>
  <c r="M439" i="1"/>
  <c r="L439" i="1"/>
  <c r="K439" i="1"/>
  <c r="J439" i="1"/>
  <c r="I439" i="1"/>
  <c r="G439" i="1"/>
  <c r="F439" i="1"/>
  <c r="B439" i="1"/>
  <c r="Q438" i="1"/>
  <c r="H438" i="1" s="1"/>
  <c r="N438" i="1"/>
  <c r="M438" i="1"/>
  <c r="L438" i="1"/>
  <c r="K438" i="1"/>
  <c r="J438" i="1"/>
  <c r="I438" i="1"/>
  <c r="G438" i="1"/>
  <c r="F438" i="1"/>
  <c r="B438" i="1"/>
  <c r="Q437" i="1"/>
  <c r="H437" i="1" s="1"/>
  <c r="N437" i="1"/>
  <c r="M437" i="1"/>
  <c r="L437" i="1"/>
  <c r="K437" i="1"/>
  <c r="J437" i="1"/>
  <c r="I437" i="1"/>
  <c r="G437" i="1"/>
  <c r="F437" i="1"/>
  <c r="B437" i="1"/>
  <c r="Q436" i="1"/>
  <c r="H436" i="1" s="1"/>
  <c r="N436" i="1"/>
  <c r="M436" i="1"/>
  <c r="L436" i="1"/>
  <c r="K436" i="1"/>
  <c r="J436" i="1"/>
  <c r="I436" i="1"/>
  <c r="G436" i="1"/>
  <c r="F436" i="1"/>
  <c r="B436" i="1"/>
  <c r="Q435" i="1"/>
  <c r="H435" i="1" s="1"/>
  <c r="N435" i="1"/>
  <c r="M435" i="1"/>
  <c r="L435" i="1"/>
  <c r="K435" i="1"/>
  <c r="J435" i="1"/>
  <c r="I435" i="1"/>
  <c r="G435" i="1"/>
  <c r="F435" i="1"/>
  <c r="B435" i="1"/>
  <c r="Q434" i="1"/>
  <c r="H434" i="1" s="1"/>
  <c r="N434" i="1"/>
  <c r="M434" i="1"/>
  <c r="L434" i="1"/>
  <c r="K434" i="1"/>
  <c r="J434" i="1"/>
  <c r="I434" i="1"/>
  <c r="G434" i="1"/>
  <c r="F434" i="1"/>
  <c r="B434" i="1"/>
  <c r="Q433" i="1"/>
  <c r="H433" i="1" s="1"/>
  <c r="N433" i="1"/>
  <c r="M433" i="1"/>
  <c r="L433" i="1"/>
  <c r="K433" i="1"/>
  <c r="J433" i="1"/>
  <c r="I433" i="1"/>
  <c r="G433" i="1"/>
  <c r="F433" i="1"/>
  <c r="B433" i="1"/>
  <c r="Q432" i="1"/>
  <c r="H432" i="1" s="1"/>
  <c r="N432" i="1"/>
  <c r="M432" i="1"/>
  <c r="L432" i="1"/>
  <c r="K432" i="1"/>
  <c r="J432" i="1"/>
  <c r="I432" i="1"/>
  <c r="G432" i="1"/>
  <c r="F432" i="1"/>
  <c r="B432" i="1"/>
  <c r="Q431" i="1"/>
  <c r="H431" i="1" s="1"/>
  <c r="N431" i="1"/>
  <c r="M431" i="1"/>
  <c r="L431" i="1"/>
  <c r="K431" i="1"/>
  <c r="J431" i="1"/>
  <c r="I431" i="1"/>
  <c r="G431" i="1"/>
  <c r="F431" i="1"/>
  <c r="B431" i="1"/>
  <c r="Q430" i="1"/>
  <c r="H430" i="1" s="1"/>
  <c r="N430" i="1"/>
  <c r="M430" i="1"/>
  <c r="L430" i="1"/>
  <c r="K430" i="1"/>
  <c r="J430" i="1"/>
  <c r="I430" i="1"/>
  <c r="G430" i="1"/>
  <c r="F430" i="1"/>
  <c r="B430" i="1"/>
  <c r="Q429" i="1"/>
  <c r="H429" i="1" s="1"/>
  <c r="N429" i="1"/>
  <c r="M429" i="1"/>
  <c r="L429" i="1"/>
  <c r="K429" i="1"/>
  <c r="J429" i="1"/>
  <c r="I429" i="1"/>
  <c r="G429" i="1"/>
  <c r="F429" i="1"/>
  <c r="B429" i="1"/>
  <c r="Q428" i="1"/>
  <c r="H428" i="1" s="1"/>
  <c r="N428" i="1"/>
  <c r="M428" i="1"/>
  <c r="L428" i="1"/>
  <c r="K428" i="1"/>
  <c r="J428" i="1"/>
  <c r="I428" i="1"/>
  <c r="G428" i="1"/>
  <c r="F428" i="1"/>
  <c r="B428" i="1"/>
  <c r="Q427" i="1"/>
  <c r="H427" i="1" s="1"/>
  <c r="N427" i="1"/>
  <c r="M427" i="1"/>
  <c r="L427" i="1"/>
  <c r="K427" i="1"/>
  <c r="J427" i="1"/>
  <c r="I427" i="1"/>
  <c r="G427" i="1"/>
  <c r="F427" i="1"/>
  <c r="B427" i="1"/>
  <c r="Q426" i="1"/>
  <c r="H426" i="1" s="1"/>
  <c r="N426" i="1"/>
  <c r="M426" i="1"/>
  <c r="L426" i="1"/>
  <c r="K426" i="1"/>
  <c r="J426" i="1"/>
  <c r="I426" i="1"/>
  <c r="G426" i="1"/>
  <c r="F426" i="1"/>
  <c r="B426" i="1"/>
  <c r="Q425" i="1"/>
  <c r="H425" i="1" s="1"/>
  <c r="N425" i="1"/>
  <c r="M425" i="1"/>
  <c r="L425" i="1"/>
  <c r="K425" i="1"/>
  <c r="J425" i="1"/>
  <c r="I425" i="1"/>
  <c r="G425" i="1"/>
  <c r="F425" i="1"/>
  <c r="B425" i="1"/>
  <c r="Q424" i="1"/>
  <c r="H424" i="1" s="1"/>
  <c r="N424" i="1"/>
  <c r="M424" i="1"/>
  <c r="L424" i="1"/>
  <c r="K424" i="1"/>
  <c r="J424" i="1"/>
  <c r="I424" i="1"/>
  <c r="G424" i="1"/>
  <c r="F424" i="1"/>
  <c r="B424" i="1"/>
  <c r="A424" i="1"/>
  <c r="C424" i="1" s="1"/>
  <c r="Q423" i="1"/>
  <c r="H423" i="1" s="1"/>
  <c r="N423" i="1"/>
  <c r="M423" i="1"/>
  <c r="L423" i="1"/>
  <c r="K423" i="1"/>
  <c r="J423" i="1"/>
  <c r="I423" i="1"/>
  <c r="G423" i="1"/>
  <c r="F423" i="1"/>
  <c r="B423" i="1"/>
  <c r="Q422" i="1"/>
  <c r="H422" i="1" s="1"/>
  <c r="N422" i="1"/>
  <c r="M422" i="1"/>
  <c r="L422" i="1"/>
  <c r="K422" i="1"/>
  <c r="J422" i="1"/>
  <c r="I422" i="1"/>
  <c r="G422" i="1"/>
  <c r="F422" i="1"/>
  <c r="B422" i="1"/>
  <c r="Q421" i="1"/>
  <c r="H421" i="1" s="1"/>
  <c r="N421" i="1"/>
  <c r="M421" i="1"/>
  <c r="L421" i="1"/>
  <c r="K421" i="1"/>
  <c r="J421" i="1"/>
  <c r="I421" i="1"/>
  <c r="G421" i="1"/>
  <c r="F421" i="1"/>
  <c r="B421" i="1"/>
  <c r="Q420" i="1"/>
  <c r="H420" i="1" s="1"/>
  <c r="N420" i="1"/>
  <c r="M420" i="1"/>
  <c r="L420" i="1"/>
  <c r="K420" i="1"/>
  <c r="J420" i="1"/>
  <c r="I420" i="1"/>
  <c r="G420" i="1"/>
  <c r="F420" i="1"/>
  <c r="B420" i="1"/>
  <c r="Q419" i="1"/>
  <c r="H419" i="1" s="1"/>
  <c r="N419" i="1"/>
  <c r="M419" i="1"/>
  <c r="L419" i="1"/>
  <c r="K419" i="1"/>
  <c r="J419" i="1"/>
  <c r="I419" i="1"/>
  <c r="G419" i="1"/>
  <c r="F419" i="1"/>
  <c r="B419" i="1"/>
  <c r="Q418" i="1"/>
  <c r="H418" i="1" s="1"/>
  <c r="N418" i="1"/>
  <c r="M418" i="1"/>
  <c r="L418" i="1"/>
  <c r="K418" i="1"/>
  <c r="J418" i="1"/>
  <c r="I418" i="1"/>
  <c r="G418" i="1"/>
  <c r="F418" i="1"/>
  <c r="B418" i="1"/>
  <c r="Q417" i="1"/>
  <c r="H417" i="1" s="1"/>
  <c r="N417" i="1"/>
  <c r="M417" i="1"/>
  <c r="L417" i="1"/>
  <c r="K417" i="1"/>
  <c r="J417" i="1"/>
  <c r="I417" i="1"/>
  <c r="G417" i="1"/>
  <c r="F417" i="1"/>
  <c r="B417" i="1"/>
  <c r="A417" i="1"/>
  <c r="C417" i="1" s="1"/>
  <c r="Q416" i="1"/>
  <c r="H416" i="1" s="1"/>
  <c r="N416" i="1"/>
  <c r="M416" i="1"/>
  <c r="L416" i="1"/>
  <c r="K416" i="1"/>
  <c r="J416" i="1"/>
  <c r="I416" i="1"/>
  <c r="G416" i="1"/>
  <c r="F416" i="1"/>
  <c r="B416" i="1"/>
  <c r="Q415" i="1"/>
  <c r="H415" i="1" s="1"/>
  <c r="N415" i="1"/>
  <c r="M415" i="1"/>
  <c r="L415" i="1"/>
  <c r="K415" i="1"/>
  <c r="J415" i="1"/>
  <c r="I415" i="1"/>
  <c r="G415" i="1"/>
  <c r="F415" i="1"/>
  <c r="B415" i="1"/>
  <c r="Q414" i="1"/>
  <c r="H414" i="1" s="1"/>
  <c r="N414" i="1"/>
  <c r="M414" i="1"/>
  <c r="L414" i="1"/>
  <c r="K414" i="1"/>
  <c r="J414" i="1"/>
  <c r="I414" i="1"/>
  <c r="G414" i="1"/>
  <c r="F414" i="1"/>
  <c r="B414" i="1"/>
  <c r="Q413" i="1"/>
  <c r="H413" i="1" s="1"/>
  <c r="N413" i="1"/>
  <c r="M413" i="1"/>
  <c r="L413" i="1"/>
  <c r="K413" i="1"/>
  <c r="J413" i="1"/>
  <c r="I413" i="1"/>
  <c r="G413" i="1"/>
  <c r="F413" i="1"/>
  <c r="B413" i="1"/>
  <c r="Q412" i="1"/>
  <c r="H412" i="1" s="1"/>
  <c r="N412" i="1"/>
  <c r="M412" i="1"/>
  <c r="L412" i="1"/>
  <c r="K412" i="1"/>
  <c r="J412" i="1"/>
  <c r="I412" i="1"/>
  <c r="G412" i="1"/>
  <c r="F412" i="1"/>
  <c r="B412" i="1"/>
  <c r="Q411" i="1"/>
  <c r="H411" i="1" s="1"/>
  <c r="N411" i="1"/>
  <c r="M411" i="1"/>
  <c r="L411" i="1"/>
  <c r="K411" i="1"/>
  <c r="J411" i="1"/>
  <c r="I411" i="1"/>
  <c r="G411" i="1"/>
  <c r="F411" i="1"/>
  <c r="B411" i="1"/>
  <c r="Q410" i="1"/>
  <c r="H410" i="1" s="1"/>
  <c r="N410" i="1"/>
  <c r="M410" i="1"/>
  <c r="L410" i="1"/>
  <c r="K410" i="1"/>
  <c r="J410" i="1"/>
  <c r="I410" i="1"/>
  <c r="G410" i="1"/>
  <c r="F410" i="1"/>
  <c r="B410" i="1"/>
  <c r="Q409" i="1"/>
  <c r="H409" i="1" s="1"/>
  <c r="N409" i="1"/>
  <c r="M409" i="1"/>
  <c r="L409" i="1"/>
  <c r="K409" i="1"/>
  <c r="J409" i="1"/>
  <c r="I409" i="1"/>
  <c r="G409" i="1"/>
  <c r="F409" i="1"/>
  <c r="B409" i="1"/>
  <c r="Q408" i="1"/>
  <c r="H408" i="1" s="1"/>
  <c r="N408" i="1"/>
  <c r="M408" i="1"/>
  <c r="L408" i="1"/>
  <c r="K408" i="1"/>
  <c r="J408" i="1"/>
  <c r="I408" i="1"/>
  <c r="G408" i="1"/>
  <c r="F408" i="1"/>
  <c r="B408" i="1"/>
  <c r="Q407" i="1"/>
  <c r="H407" i="1" s="1"/>
  <c r="N407" i="1"/>
  <c r="M407" i="1"/>
  <c r="L407" i="1"/>
  <c r="K407" i="1"/>
  <c r="J407" i="1"/>
  <c r="I407" i="1"/>
  <c r="G407" i="1"/>
  <c r="F407" i="1"/>
  <c r="B407" i="1"/>
  <c r="Q406" i="1"/>
  <c r="H406" i="1" s="1"/>
  <c r="N406" i="1"/>
  <c r="M406" i="1"/>
  <c r="L406" i="1"/>
  <c r="K406" i="1"/>
  <c r="J406" i="1"/>
  <c r="I406" i="1"/>
  <c r="G406" i="1"/>
  <c r="F406" i="1"/>
  <c r="B406" i="1"/>
  <c r="Q405" i="1"/>
  <c r="H405" i="1" s="1"/>
  <c r="N405" i="1"/>
  <c r="M405" i="1"/>
  <c r="L405" i="1"/>
  <c r="K405" i="1"/>
  <c r="J405" i="1"/>
  <c r="I405" i="1"/>
  <c r="G405" i="1"/>
  <c r="F405" i="1"/>
  <c r="B405" i="1"/>
  <c r="Q404" i="1"/>
  <c r="H404" i="1" s="1"/>
  <c r="N404" i="1"/>
  <c r="M404" i="1"/>
  <c r="L404" i="1"/>
  <c r="K404" i="1"/>
  <c r="J404" i="1"/>
  <c r="I404" i="1"/>
  <c r="G404" i="1"/>
  <c r="F404" i="1"/>
  <c r="B404" i="1"/>
  <c r="Q403" i="1"/>
  <c r="H403" i="1" s="1"/>
  <c r="N403" i="1"/>
  <c r="M403" i="1"/>
  <c r="L403" i="1"/>
  <c r="K403" i="1"/>
  <c r="J403" i="1"/>
  <c r="I403" i="1"/>
  <c r="G403" i="1"/>
  <c r="F403" i="1"/>
  <c r="B403" i="1"/>
  <c r="Q402" i="1"/>
  <c r="H402" i="1" s="1"/>
  <c r="N402" i="1"/>
  <c r="M402" i="1"/>
  <c r="L402" i="1"/>
  <c r="K402" i="1"/>
  <c r="J402" i="1"/>
  <c r="I402" i="1"/>
  <c r="G402" i="1"/>
  <c r="F402" i="1"/>
  <c r="B402" i="1"/>
  <c r="Q401" i="1"/>
  <c r="H401" i="1" s="1"/>
  <c r="N401" i="1"/>
  <c r="M401" i="1"/>
  <c r="L401" i="1"/>
  <c r="K401" i="1"/>
  <c r="J401" i="1"/>
  <c r="I401" i="1"/>
  <c r="G401" i="1"/>
  <c r="F401" i="1"/>
  <c r="B401" i="1"/>
  <c r="Q400" i="1"/>
  <c r="H400" i="1" s="1"/>
  <c r="N400" i="1"/>
  <c r="M400" i="1"/>
  <c r="L400" i="1"/>
  <c r="K400" i="1"/>
  <c r="J400" i="1"/>
  <c r="I400" i="1"/>
  <c r="G400" i="1"/>
  <c r="F400" i="1"/>
  <c r="B400" i="1"/>
  <c r="Q399" i="1"/>
  <c r="H399" i="1" s="1"/>
  <c r="N399" i="1"/>
  <c r="M399" i="1"/>
  <c r="L399" i="1"/>
  <c r="K399" i="1"/>
  <c r="J399" i="1"/>
  <c r="I399" i="1"/>
  <c r="G399" i="1"/>
  <c r="F399" i="1"/>
  <c r="B399" i="1"/>
  <c r="Q398" i="1"/>
  <c r="H398" i="1" s="1"/>
  <c r="N398" i="1"/>
  <c r="M398" i="1"/>
  <c r="L398" i="1"/>
  <c r="K398" i="1"/>
  <c r="J398" i="1"/>
  <c r="I398" i="1"/>
  <c r="G398" i="1"/>
  <c r="F398" i="1"/>
  <c r="B398" i="1"/>
  <c r="Q397" i="1"/>
  <c r="H397" i="1" s="1"/>
  <c r="N397" i="1"/>
  <c r="M397" i="1"/>
  <c r="L397" i="1"/>
  <c r="K397" i="1"/>
  <c r="J397" i="1"/>
  <c r="I397" i="1"/>
  <c r="G397" i="1"/>
  <c r="F397" i="1"/>
  <c r="B397" i="1"/>
  <c r="Q396" i="1"/>
  <c r="H396" i="1" s="1"/>
  <c r="N396" i="1"/>
  <c r="M396" i="1"/>
  <c r="L396" i="1"/>
  <c r="K396" i="1"/>
  <c r="J396" i="1"/>
  <c r="I396" i="1"/>
  <c r="G396" i="1"/>
  <c r="F396" i="1"/>
  <c r="B396" i="1"/>
  <c r="Q395" i="1"/>
  <c r="H395" i="1" s="1"/>
  <c r="N395" i="1"/>
  <c r="M395" i="1"/>
  <c r="L395" i="1"/>
  <c r="K395" i="1"/>
  <c r="J395" i="1"/>
  <c r="I395" i="1"/>
  <c r="G395" i="1"/>
  <c r="F395" i="1"/>
  <c r="B395" i="1"/>
  <c r="Q394" i="1"/>
  <c r="H394" i="1" s="1"/>
  <c r="N394" i="1"/>
  <c r="M394" i="1"/>
  <c r="L394" i="1"/>
  <c r="K394" i="1"/>
  <c r="J394" i="1"/>
  <c r="I394" i="1"/>
  <c r="G394" i="1"/>
  <c r="F394" i="1"/>
  <c r="B394" i="1"/>
  <c r="Q393" i="1"/>
  <c r="H393" i="1" s="1"/>
  <c r="N393" i="1"/>
  <c r="M393" i="1"/>
  <c r="L393" i="1"/>
  <c r="K393" i="1"/>
  <c r="J393" i="1"/>
  <c r="I393" i="1"/>
  <c r="G393" i="1"/>
  <c r="F393" i="1"/>
  <c r="B393" i="1"/>
  <c r="Q392" i="1"/>
  <c r="H392" i="1" s="1"/>
  <c r="N392" i="1"/>
  <c r="M392" i="1"/>
  <c r="L392" i="1"/>
  <c r="K392" i="1"/>
  <c r="J392" i="1"/>
  <c r="I392" i="1"/>
  <c r="G392" i="1"/>
  <c r="F392" i="1"/>
  <c r="B392" i="1"/>
  <c r="A392" i="1"/>
  <c r="C392" i="1" s="1"/>
  <c r="Q391" i="1"/>
  <c r="H391" i="1" s="1"/>
  <c r="N391" i="1"/>
  <c r="M391" i="1"/>
  <c r="L391" i="1"/>
  <c r="K391" i="1"/>
  <c r="J391" i="1"/>
  <c r="I391" i="1"/>
  <c r="G391" i="1"/>
  <c r="F391" i="1"/>
  <c r="B391" i="1"/>
  <c r="Q390" i="1"/>
  <c r="H390" i="1" s="1"/>
  <c r="N390" i="1"/>
  <c r="M390" i="1"/>
  <c r="L390" i="1"/>
  <c r="K390" i="1"/>
  <c r="J390" i="1"/>
  <c r="I390" i="1"/>
  <c r="G390" i="1"/>
  <c r="F390" i="1"/>
  <c r="B390" i="1"/>
  <c r="Q389" i="1"/>
  <c r="H389" i="1" s="1"/>
  <c r="N389" i="1"/>
  <c r="M389" i="1"/>
  <c r="L389" i="1"/>
  <c r="K389" i="1"/>
  <c r="J389" i="1"/>
  <c r="I389" i="1"/>
  <c r="G389" i="1"/>
  <c r="F389" i="1"/>
  <c r="B389" i="1"/>
  <c r="Q388" i="1"/>
  <c r="H388" i="1" s="1"/>
  <c r="N388" i="1"/>
  <c r="M388" i="1"/>
  <c r="L388" i="1"/>
  <c r="K388" i="1"/>
  <c r="J388" i="1"/>
  <c r="I388" i="1"/>
  <c r="G388" i="1"/>
  <c r="F388" i="1"/>
  <c r="B388" i="1"/>
  <c r="Q387" i="1"/>
  <c r="H387" i="1" s="1"/>
  <c r="N387" i="1"/>
  <c r="M387" i="1"/>
  <c r="L387" i="1"/>
  <c r="K387" i="1"/>
  <c r="J387" i="1"/>
  <c r="I387" i="1"/>
  <c r="G387" i="1"/>
  <c r="F387" i="1"/>
  <c r="B387" i="1"/>
  <c r="Q386" i="1"/>
  <c r="H386" i="1" s="1"/>
  <c r="N386" i="1"/>
  <c r="M386" i="1"/>
  <c r="L386" i="1"/>
  <c r="K386" i="1"/>
  <c r="J386" i="1"/>
  <c r="I386" i="1"/>
  <c r="G386" i="1"/>
  <c r="F386" i="1"/>
  <c r="B386" i="1"/>
  <c r="Q385" i="1"/>
  <c r="H385" i="1" s="1"/>
  <c r="N385" i="1"/>
  <c r="M385" i="1"/>
  <c r="L385" i="1"/>
  <c r="K385" i="1"/>
  <c r="J385" i="1"/>
  <c r="I385" i="1"/>
  <c r="G385" i="1"/>
  <c r="F385" i="1"/>
  <c r="B385" i="1"/>
  <c r="A385" i="1"/>
  <c r="C385" i="1" s="1"/>
  <c r="Q384" i="1"/>
  <c r="H384" i="1" s="1"/>
  <c r="N384" i="1"/>
  <c r="M384" i="1"/>
  <c r="L384" i="1"/>
  <c r="K384" i="1"/>
  <c r="J384" i="1"/>
  <c r="I384" i="1"/>
  <c r="G384" i="1"/>
  <c r="F384" i="1"/>
  <c r="B384" i="1"/>
  <c r="Q383" i="1"/>
  <c r="H383" i="1" s="1"/>
  <c r="N383" i="1"/>
  <c r="M383" i="1"/>
  <c r="L383" i="1"/>
  <c r="K383" i="1"/>
  <c r="J383" i="1"/>
  <c r="I383" i="1"/>
  <c r="G383" i="1"/>
  <c r="F383" i="1"/>
  <c r="B383" i="1"/>
  <c r="Q382" i="1"/>
  <c r="H382" i="1" s="1"/>
  <c r="N382" i="1"/>
  <c r="M382" i="1"/>
  <c r="L382" i="1"/>
  <c r="K382" i="1"/>
  <c r="J382" i="1"/>
  <c r="I382" i="1"/>
  <c r="G382" i="1"/>
  <c r="F382" i="1"/>
  <c r="B382" i="1"/>
  <c r="Q381" i="1"/>
  <c r="H381" i="1" s="1"/>
  <c r="N381" i="1"/>
  <c r="M381" i="1"/>
  <c r="L381" i="1"/>
  <c r="K381" i="1"/>
  <c r="J381" i="1"/>
  <c r="I381" i="1"/>
  <c r="G381" i="1"/>
  <c r="F381" i="1"/>
  <c r="B381" i="1"/>
  <c r="Q380" i="1"/>
  <c r="H380" i="1" s="1"/>
  <c r="N380" i="1"/>
  <c r="M380" i="1"/>
  <c r="L380" i="1"/>
  <c r="K380" i="1"/>
  <c r="J380" i="1"/>
  <c r="I380" i="1"/>
  <c r="G380" i="1"/>
  <c r="F380" i="1"/>
  <c r="B380" i="1"/>
  <c r="Q379" i="1"/>
  <c r="H379" i="1" s="1"/>
  <c r="N379" i="1"/>
  <c r="M379" i="1"/>
  <c r="L379" i="1"/>
  <c r="K379" i="1"/>
  <c r="J379" i="1"/>
  <c r="I379" i="1"/>
  <c r="G379" i="1"/>
  <c r="F379" i="1"/>
  <c r="B379" i="1"/>
  <c r="Q378" i="1"/>
  <c r="H378" i="1" s="1"/>
  <c r="N378" i="1"/>
  <c r="M378" i="1"/>
  <c r="L378" i="1"/>
  <c r="K378" i="1"/>
  <c r="J378" i="1"/>
  <c r="I378" i="1"/>
  <c r="G378" i="1"/>
  <c r="F378" i="1"/>
  <c r="B378" i="1"/>
  <c r="Q377" i="1"/>
  <c r="H377" i="1" s="1"/>
  <c r="N377" i="1"/>
  <c r="M377" i="1"/>
  <c r="L377" i="1"/>
  <c r="K377" i="1"/>
  <c r="J377" i="1"/>
  <c r="I377" i="1"/>
  <c r="G377" i="1"/>
  <c r="F377" i="1"/>
  <c r="B377" i="1"/>
  <c r="Q376" i="1"/>
  <c r="H376" i="1" s="1"/>
  <c r="N376" i="1"/>
  <c r="M376" i="1"/>
  <c r="L376" i="1"/>
  <c r="K376" i="1"/>
  <c r="J376" i="1"/>
  <c r="I376" i="1"/>
  <c r="G376" i="1"/>
  <c r="F376" i="1"/>
  <c r="B376" i="1"/>
  <c r="Q375" i="1"/>
  <c r="H375" i="1" s="1"/>
  <c r="N375" i="1"/>
  <c r="M375" i="1"/>
  <c r="L375" i="1"/>
  <c r="K375" i="1"/>
  <c r="J375" i="1"/>
  <c r="I375" i="1"/>
  <c r="G375" i="1"/>
  <c r="F375" i="1"/>
  <c r="B375" i="1"/>
  <c r="Q374" i="1"/>
  <c r="H374" i="1" s="1"/>
  <c r="N374" i="1"/>
  <c r="M374" i="1"/>
  <c r="L374" i="1"/>
  <c r="K374" i="1"/>
  <c r="J374" i="1"/>
  <c r="I374" i="1"/>
  <c r="G374" i="1"/>
  <c r="F374" i="1"/>
  <c r="B374" i="1"/>
  <c r="Q373" i="1"/>
  <c r="H373" i="1" s="1"/>
  <c r="N373" i="1"/>
  <c r="M373" i="1"/>
  <c r="L373" i="1"/>
  <c r="K373" i="1"/>
  <c r="J373" i="1"/>
  <c r="I373" i="1"/>
  <c r="G373" i="1"/>
  <c r="F373" i="1"/>
  <c r="B373" i="1"/>
  <c r="Q372" i="1"/>
  <c r="H372" i="1" s="1"/>
  <c r="N372" i="1"/>
  <c r="M372" i="1"/>
  <c r="L372" i="1"/>
  <c r="K372" i="1"/>
  <c r="J372" i="1"/>
  <c r="I372" i="1"/>
  <c r="G372" i="1"/>
  <c r="F372" i="1"/>
  <c r="B372" i="1"/>
  <c r="Q371" i="1"/>
  <c r="H371" i="1" s="1"/>
  <c r="N371" i="1"/>
  <c r="M371" i="1"/>
  <c r="L371" i="1"/>
  <c r="K371" i="1"/>
  <c r="J371" i="1"/>
  <c r="I371" i="1"/>
  <c r="G371" i="1"/>
  <c r="F371" i="1"/>
  <c r="B371" i="1"/>
  <c r="Q370" i="1"/>
  <c r="H370" i="1" s="1"/>
  <c r="N370" i="1"/>
  <c r="M370" i="1"/>
  <c r="L370" i="1"/>
  <c r="K370" i="1"/>
  <c r="J370" i="1"/>
  <c r="I370" i="1"/>
  <c r="G370" i="1"/>
  <c r="F370" i="1"/>
  <c r="B370" i="1"/>
  <c r="Q369" i="1"/>
  <c r="H369" i="1" s="1"/>
  <c r="N369" i="1"/>
  <c r="M369" i="1"/>
  <c r="L369" i="1"/>
  <c r="K369" i="1"/>
  <c r="J369" i="1"/>
  <c r="I369" i="1"/>
  <c r="G369" i="1"/>
  <c r="F369" i="1"/>
  <c r="B369" i="1"/>
  <c r="Q368" i="1"/>
  <c r="H368" i="1" s="1"/>
  <c r="N368" i="1"/>
  <c r="M368" i="1"/>
  <c r="L368" i="1"/>
  <c r="K368" i="1"/>
  <c r="J368" i="1"/>
  <c r="I368" i="1"/>
  <c r="G368" i="1"/>
  <c r="F368" i="1"/>
  <c r="B368" i="1"/>
  <c r="Q367" i="1"/>
  <c r="H367" i="1" s="1"/>
  <c r="N367" i="1"/>
  <c r="M367" i="1"/>
  <c r="L367" i="1"/>
  <c r="K367" i="1"/>
  <c r="J367" i="1"/>
  <c r="I367" i="1"/>
  <c r="G367" i="1"/>
  <c r="F367" i="1"/>
  <c r="B367" i="1"/>
  <c r="Q366" i="1"/>
  <c r="H366" i="1" s="1"/>
  <c r="N366" i="1"/>
  <c r="M366" i="1"/>
  <c r="L366" i="1"/>
  <c r="K366" i="1"/>
  <c r="J366" i="1"/>
  <c r="I366" i="1"/>
  <c r="G366" i="1"/>
  <c r="F366" i="1"/>
  <c r="B366" i="1"/>
  <c r="Q365" i="1"/>
  <c r="H365" i="1" s="1"/>
  <c r="N365" i="1"/>
  <c r="M365" i="1"/>
  <c r="L365" i="1"/>
  <c r="K365" i="1"/>
  <c r="J365" i="1"/>
  <c r="I365" i="1"/>
  <c r="G365" i="1"/>
  <c r="F365" i="1"/>
  <c r="B365" i="1"/>
  <c r="Q364" i="1"/>
  <c r="H364" i="1" s="1"/>
  <c r="N364" i="1"/>
  <c r="M364" i="1"/>
  <c r="L364" i="1"/>
  <c r="K364" i="1"/>
  <c r="J364" i="1"/>
  <c r="I364" i="1"/>
  <c r="G364" i="1"/>
  <c r="F364" i="1"/>
  <c r="B364" i="1"/>
  <c r="Q363" i="1"/>
  <c r="H363" i="1" s="1"/>
  <c r="N363" i="1"/>
  <c r="M363" i="1"/>
  <c r="L363" i="1"/>
  <c r="K363" i="1"/>
  <c r="J363" i="1"/>
  <c r="I363" i="1"/>
  <c r="G363" i="1"/>
  <c r="F363" i="1"/>
  <c r="B363" i="1"/>
  <c r="Q362" i="1"/>
  <c r="H362" i="1" s="1"/>
  <c r="N362" i="1"/>
  <c r="M362" i="1"/>
  <c r="L362" i="1"/>
  <c r="K362" i="1"/>
  <c r="J362" i="1"/>
  <c r="I362" i="1"/>
  <c r="G362" i="1"/>
  <c r="F362" i="1"/>
  <c r="B362" i="1"/>
  <c r="Q361" i="1"/>
  <c r="H361" i="1" s="1"/>
  <c r="N361" i="1"/>
  <c r="M361" i="1"/>
  <c r="L361" i="1"/>
  <c r="K361" i="1"/>
  <c r="J361" i="1"/>
  <c r="I361" i="1"/>
  <c r="G361" i="1"/>
  <c r="F361" i="1"/>
  <c r="B361" i="1"/>
  <c r="Q360" i="1"/>
  <c r="H360" i="1" s="1"/>
  <c r="N360" i="1"/>
  <c r="M360" i="1"/>
  <c r="L360" i="1"/>
  <c r="K360" i="1"/>
  <c r="J360" i="1"/>
  <c r="I360" i="1"/>
  <c r="G360" i="1"/>
  <c r="F360" i="1"/>
  <c r="B360" i="1"/>
  <c r="A360" i="1"/>
  <c r="C360" i="1" s="1"/>
  <c r="Q359" i="1"/>
  <c r="H359" i="1" s="1"/>
  <c r="N359" i="1"/>
  <c r="M359" i="1"/>
  <c r="L359" i="1"/>
  <c r="K359" i="1"/>
  <c r="J359" i="1"/>
  <c r="I359" i="1"/>
  <c r="G359" i="1"/>
  <c r="F359" i="1"/>
  <c r="B359" i="1"/>
  <c r="Q358" i="1"/>
  <c r="H358" i="1" s="1"/>
  <c r="N358" i="1"/>
  <c r="M358" i="1"/>
  <c r="L358" i="1"/>
  <c r="K358" i="1"/>
  <c r="J358" i="1"/>
  <c r="I358" i="1"/>
  <c r="G358" i="1"/>
  <c r="F358" i="1"/>
  <c r="B358" i="1"/>
  <c r="Q357" i="1"/>
  <c r="H357" i="1" s="1"/>
  <c r="N357" i="1"/>
  <c r="M357" i="1"/>
  <c r="L357" i="1"/>
  <c r="K357" i="1"/>
  <c r="J357" i="1"/>
  <c r="I357" i="1"/>
  <c r="G357" i="1"/>
  <c r="F357" i="1"/>
  <c r="B357" i="1"/>
  <c r="Q356" i="1"/>
  <c r="H356" i="1" s="1"/>
  <c r="N356" i="1"/>
  <c r="M356" i="1"/>
  <c r="L356" i="1"/>
  <c r="K356" i="1"/>
  <c r="J356" i="1"/>
  <c r="I356" i="1"/>
  <c r="G356" i="1"/>
  <c r="F356" i="1"/>
  <c r="B356" i="1"/>
  <c r="Q355" i="1"/>
  <c r="H355" i="1" s="1"/>
  <c r="N355" i="1"/>
  <c r="M355" i="1"/>
  <c r="L355" i="1"/>
  <c r="K355" i="1"/>
  <c r="J355" i="1"/>
  <c r="I355" i="1"/>
  <c r="G355" i="1"/>
  <c r="F355" i="1"/>
  <c r="B355" i="1"/>
  <c r="Q354" i="1"/>
  <c r="H354" i="1" s="1"/>
  <c r="N354" i="1"/>
  <c r="M354" i="1"/>
  <c r="L354" i="1"/>
  <c r="K354" i="1"/>
  <c r="J354" i="1"/>
  <c r="I354" i="1"/>
  <c r="G354" i="1"/>
  <c r="F354" i="1"/>
  <c r="B354" i="1"/>
  <c r="Q353" i="1"/>
  <c r="H353" i="1" s="1"/>
  <c r="N353" i="1"/>
  <c r="M353" i="1"/>
  <c r="L353" i="1"/>
  <c r="K353" i="1"/>
  <c r="J353" i="1"/>
  <c r="I353" i="1"/>
  <c r="G353" i="1"/>
  <c r="F353" i="1"/>
  <c r="B353" i="1"/>
  <c r="A353" i="1"/>
  <c r="C353" i="1" s="1"/>
  <c r="Q352" i="1"/>
  <c r="H352" i="1" s="1"/>
  <c r="N352" i="1"/>
  <c r="M352" i="1"/>
  <c r="L352" i="1"/>
  <c r="K352" i="1"/>
  <c r="J352" i="1"/>
  <c r="I352" i="1"/>
  <c r="G352" i="1"/>
  <c r="F352" i="1"/>
  <c r="B352" i="1"/>
  <c r="Q351" i="1"/>
  <c r="H351" i="1" s="1"/>
  <c r="N351" i="1"/>
  <c r="M351" i="1"/>
  <c r="L351" i="1"/>
  <c r="K351" i="1"/>
  <c r="J351" i="1"/>
  <c r="I351" i="1"/>
  <c r="G351" i="1"/>
  <c r="F351" i="1"/>
  <c r="B351" i="1"/>
  <c r="Q350" i="1"/>
  <c r="H350" i="1" s="1"/>
  <c r="N350" i="1"/>
  <c r="M350" i="1"/>
  <c r="L350" i="1"/>
  <c r="K350" i="1"/>
  <c r="J350" i="1"/>
  <c r="I350" i="1"/>
  <c r="G350" i="1"/>
  <c r="F350" i="1"/>
  <c r="B350" i="1"/>
  <c r="Q349" i="1"/>
  <c r="H349" i="1" s="1"/>
  <c r="N349" i="1"/>
  <c r="M349" i="1"/>
  <c r="L349" i="1"/>
  <c r="K349" i="1"/>
  <c r="J349" i="1"/>
  <c r="I349" i="1"/>
  <c r="G349" i="1"/>
  <c r="F349" i="1"/>
  <c r="B349" i="1"/>
  <c r="Q348" i="1"/>
  <c r="H348" i="1" s="1"/>
  <c r="N348" i="1"/>
  <c r="M348" i="1"/>
  <c r="L348" i="1"/>
  <c r="K348" i="1"/>
  <c r="J348" i="1"/>
  <c r="I348" i="1"/>
  <c r="G348" i="1"/>
  <c r="F348" i="1"/>
  <c r="B348" i="1"/>
  <c r="Q347" i="1"/>
  <c r="H347" i="1" s="1"/>
  <c r="N347" i="1"/>
  <c r="M347" i="1"/>
  <c r="L347" i="1"/>
  <c r="K347" i="1"/>
  <c r="J347" i="1"/>
  <c r="I347" i="1"/>
  <c r="G347" i="1"/>
  <c r="F347" i="1"/>
  <c r="B347" i="1"/>
  <c r="Q346" i="1"/>
  <c r="H346" i="1" s="1"/>
  <c r="N346" i="1"/>
  <c r="M346" i="1"/>
  <c r="L346" i="1"/>
  <c r="K346" i="1"/>
  <c r="J346" i="1"/>
  <c r="I346" i="1"/>
  <c r="G346" i="1"/>
  <c r="F346" i="1"/>
  <c r="B346" i="1"/>
  <c r="Q345" i="1"/>
  <c r="H345" i="1" s="1"/>
  <c r="N345" i="1"/>
  <c r="M345" i="1"/>
  <c r="L345" i="1"/>
  <c r="K345" i="1"/>
  <c r="J345" i="1"/>
  <c r="I345" i="1"/>
  <c r="G345" i="1"/>
  <c r="F345" i="1"/>
  <c r="B345" i="1"/>
  <c r="Q344" i="1"/>
  <c r="H344" i="1" s="1"/>
  <c r="N344" i="1"/>
  <c r="M344" i="1"/>
  <c r="L344" i="1"/>
  <c r="K344" i="1"/>
  <c r="J344" i="1"/>
  <c r="I344" i="1"/>
  <c r="G344" i="1"/>
  <c r="F344" i="1"/>
  <c r="B344" i="1"/>
  <c r="Q343" i="1"/>
  <c r="H343" i="1" s="1"/>
  <c r="N343" i="1"/>
  <c r="M343" i="1"/>
  <c r="L343" i="1"/>
  <c r="K343" i="1"/>
  <c r="J343" i="1"/>
  <c r="I343" i="1"/>
  <c r="G343" i="1"/>
  <c r="F343" i="1"/>
  <c r="B343" i="1"/>
  <c r="Q342" i="1"/>
  <c r="H342" i="1" s="1"/>
  <c r="N342" i="1"/>
  <c r="M342" i="1"/>
  <c r="L342" i="1"/>
  <c r="K342" i="1"/>
  <c r="J342" i="1"/>
  <c r="I342" i="1"/>
  <c r="G342" i="1"/>
  <c r="F342" i="1"/>
  <c r="B342" i="1"/>
  <c r="Q341" i="1"/>
  <c r="H341" i="1" s="1"/>
  <c r="N341" i="1"/>
  <c r="M341" i="1"/>
  <c r="L341" i="1"/>
  <c r="K341" i="1"/>
  <c r="J341" i="1"/>
  <c r="I341" i="1"/>
  <c r="G341" i="1"/>
  <c r="F341" i="1"/>
  <c r="B341" i="1"/>
  <c r="Q340" i="1"/>
  <c r="H340" i="1" s="1"/>
  <c r="N340" i="1"/>
  <c r="M340" i="1"/>
  <c r="L340" i="1"/>
  <c r="K340" i="1"/>
  <c r="J340" i="1"/>
  <c r="I340" i="1"/>
  <c r="G340" i="1"/>
  <c r="F340" i="1"/>
  <c r="B340" i="1"/>
  <c r="Q339" i="1"/>
  <c r="H339" i="1" s="1"/>
  <c r="N339" i="1"/>
  <c r="M339" i="1"/>
  <c r="L339" i="1"/>
  <c r="K339" i="1"/>
  <c r="J339" i="1"/>
  <c r="I339" i="1"/>
  <c r="G339" i="1"/>
  <c r="F339" i="1"/>
  <c r="B339" i="1"/>
  <c r="Q338" i="1"/>
  <c r="H338" i="1" s="1"/>
  <c r="N338" i="1"/>
  <c r="M338" i="1"/>
  <c r="L338" i="1"/>
  <c r="K338" i="1"/>
  <c r="J338" i="1"/>
  <c r="I338" i="1"/>
  <c r="G338" i="1"/>
  <c r="F338" i="1"/>
  <c r="B338" i="1"/>
  <c r="Q337" i="1"/>
  <c r="H337" i="1" s="1"/>
  <c r="N337" i="1"/>
  <c r="M337" i="1"/>
  <c r="L337" i="1"/>
  <c r="K337" i="1"/>
  <c r="J337" i="1"/>
  <c r="I337" i="1"/>
  <c r="G337" i="1"/>
  <c r="F337" i="1"/>
  <c r="B337" i="1"/>
  <c r="Q336" i="1"/>
  <c r="H336" i="1" s="1"/>
  <c r="N336" i="1"/>
  <c r="M336" i="1"/>
  <c r="L336" i="1"/>
  <c r="K336" i="1"/>
  <c r="J336" i="1"/>
  <c r="I336" i="1"/>
  <c r="G336" i="1"/>
  <c r="F336" i="1"/>
  <c r="B336" i="1"/>
  <c r="Q335" i="1"/>
  <c r="H335" i="1" s="1"/>
  <c r="N335" i="1"/>
  <c r="M335" i="1"/>
  <c r="L335" i="1"/>
  <c r="K335" i="1"/>
  <c r="J335" i="1"/>
  <c r="I335" i="1"/>
  <c r="G335" i="1"/>
  <c r="F335" i="1"/>
  <c r="B335" i="1"/>
  <c r="Q334" i="1"/>
  <c r="H334" i="1" s="1"/>
  <c r="N334" i="1"/>
  <c r="M334" i="1"/>
  <c r="L334" i="1"/>
  <c r="K334" i="1"/>
  <c r="J334" i="1"/>
  <c r="I334" i="1"/>
  <c r="G334" i="1"/>
  <c r="F334" i="1"/>
  <c r="B334" i="1"/>
  <c r="Q333" i="1"/>
  <c r="H333" i="1" s="1"/>
  <c r="N333" i="1"/>
  <c r="M333" i="1"/>
  <c r="L333" i="1"/>
  <c r="K333" i="1"/>
  <c r="J333" i="1"/>
  <c r="I333" i="1"/>
  <c r="G333" i="1"/>
  <c r="F333" i="1"/>
  <c r="B333" i="1"/>
  <c r="Q332" i="1"/>
  <c r="H332" i="1" s="1"/>
  <c r="N332" i="1"/>
  <c r="M332" i="1"/>
  <c r="L332" i="1"/>
  <c r="K332" i="1"/>
  <c r="J332" i="1"/>
  <c r="I332" i="1"/>
  <c r="G332" i="1"/>
  <c r="F332" i="1"/>
  <c r="B332" i="1"/>
  <c r="Q331" i="1"/>
  <c r="H331" i="1" s="1"/>
  <c r="N331" i="1"/>
  <c r="M331" i="1"/>
  <c r="L331" i="1"/>
  <c r="K331" i="1"/>
  <c r="J331" i="1"/>
  <c r="I331" i="1"/>
  <c r="G331" i="1"/>
  <c r="F331" i="1"/>
  <c r="B331" i="1"/>
  <c r="Q330" i="1"/>
  <c r="H330" i="1" s="1"/>
  <c r="N330" i="1"/>
  <c r="M330" i="1"/>
  <c r="L330" i="1"/>
  <c r="K330" i="1"/>
  <c r="J330" i="1"/>
  <c r="I330" i="1"/>
  <c r="G330" i="1"/>
  <c r="F330" i="1"/>
  <c r="B330" i="1"/>
  <c r="Q329" i="1"/>
  <c r="H329" i="1" s="1"/>
  <c r="N329" i="1"/>
  <c r="M329" i="1"/>
  <c r="L329" i="1"/>
  <c r="K329" i="1"/>
  <c r="J329" i="1"/>
  <c r="I329" i="1"/>
  <c r="G329" i="1"/>
  <c r="F329" i="1"/>
  <c r="B329" i="1"/>
  <c r="Q328" i="1"/>
  <c r="H328" i="1" s="1"/>
  <c r="N328" i="1"/>
  <c r="M328" i="1"/>
  <c r="L328" i="1"/>
  <c r="K328" i="1"/>
  <c r="J328" i="1"/>
  <c r="I328" i="1"/>
  <c r="G328" i="1"/>
  <c r="F328" i="1"/>
  <c r="B328" i="1"/>
  <c r="A328" i="1"/>
  <c r="C328" i="1" s="1"/>
  <c r="Q327" i="1"/>
  <c r="H327" i="1" s="1"/>
  <c r="N327" i="1"/>
  <c r="M327" i="1"/>
  <c r="L327" i="1"/>
  <c r="K327" i="1"/>
  <c r="J327" i="1"/>
  <c r="I327" i="1"/>
  <c r="G327" i="1"/>
  <c r="F327" i="1"/>
  <c r="B327" i="1"/>
  <c r="Q326" i="1"/>
  <c r="H326" i="1" s="1"/>
  <c r="N326" i="1"/>
  <c r="M326" i="1"/>
  <c r="L326" i="1"/>
  <c r="K326" i="1"/>
  <c r="J326" i="1"/>
  <c r="I326" i="1"/>
  <c r="G326" i="1"/>
  <c r="F326" i="1"/>
  <c r="B326" i="1"/>
  <c r="Q325" i="1"/>
  <c r="H325" i="1" s="1"/>
  <c r="N325" i="1"/>
  <c r="M325" i="1"/>
  <c r="L325" i="1"/>
  <c r="K325" i="1"/>
  <c r="J325" i="1"/>
  <c r="I325" i="1"/>
  <c r="G325" i="1"/>
  <c r="F325" i="1"/>
  <c r="B325" i="1"/>
  <c r="Q324" i="1"/>
  <c r="H324" i="1" s="1"/>
  <c r="N324" i="1"/>
  <c r="M324" i="1"/>
  <c r="L324" i="1"/>
  <c r="K324" i="1"/>
  <c r="J324" i="1"/>
  <c r="I324" i="1"/>
  <c r="G324" i="1"/>
  <c r="F324" i="1"/>
  <c r="B324" i="1"/>
  <c r="Q323" i="1"/>
  <c r="H323" i="1" s="1"/>
  <c r="N323" i="1"/>
  <c r="M323" i="1"/>
  <c r="L323" i="1"/>
  <c r="K323" i="1"/>
  <c r="J323" i="1"/>
  <c r="I323" i="1"/>
  <c r="G323" i="1"/>
  <c r="F323" i="1"/>
  <c r="B323" i="1"/>
  <c r="Q322" i="1"/>
  <c r="H322" i="1" s="1"/>
  <c r="N322" i="1"/>
  <c r="M322" i="1"/>
  <c r="L322" i="1"/>
  <c r="K322" i="1"/>
  <c r="J322" i="1"/>
  <c r="I322" i="1"/>
  <c r="G322" i="1"/>
  <c r="F322" i="1"/>
  <c r="B322" i="1"/>
  <c r="Q321" i="1"/>
  <c r="H321" i="1" s="1"/>
  <c r="N321" i="1"/>
  <c r="M321" i="1"/>
  <c r="L321" i="1"/>
  <c r="K321" i="1"/>
  <c r="J321" i="1"/>
  <c r="I321" i="1"/>
  <c r="G321" i="1"/>
  <c r="F321" i="1"/>
  <c r="B321" i="1"/>
  <c r="A321" i="1"/>
  <c r="C321" i="1" s="1"/>
  <c r="Q320" i="1"/>
  <c r="H320" i="1" s="1"/>
  <c r="N320" i="1"/>
  <c r="M320" i="1"/>
  <c r="L320" i="1"/>
  <c r="K320" i="1"/>
  <c r="J320" i="1"/>
  <c r="I320" i="1"/>
  <c r="G320" i="1"/>
  <c r="F320" i="1"/>
  <c r="B320" i="1"/>
  <c r="Q319" i="1"/>
  <c r="H319" i="1" s="1"/>
  <c r="N319" i="1"/>
  <c r="M319" i="1"/>
  <c r="L319" i="1"/>
  <c r="K319" i="1"/>
  <c r="J319" i="1"/>
  <c r="I319" i="1"/>
  <c r="G319" i="1"/>
  <c r="F319" i="1"/>
  <c r="B319" i="1"/>
  <c r="Q318" i="1"/>
  <c r="H318" i="1" s="1"/>
  <c r="N318" i="1"/>
  <c r="M318" i="1"/>
  <c r="L318" i="1"/>
  <c r="K318" i="1"/>
  <c r="J318" i="1"/>
  <c r="I318" i="1"/>
  <c r="G318" i="1"/>
  <c r="F318" i="1"/>
  <c r="B318" i="1"/>
  <c r="Q317" i="1"/>
  <c r="H317" i="1" s="1"/>
  <c r="N317" i="1"/>
  <c r="M317" i="1"/>
  <c r="L317" i="1"/>
  <c r="K317" i="1"/>
  <c r="J317" i="1"/>
  <c r="I317" i="1"/>
  <c r="G317" i="1"/>
  <c r="F317" i="1"/>
  <c r="B317" i="1"/>
  <c r="Q316" i="1"/>
  <c r="H316" i="1" s="1"/>
  <c r="N316" i="1"/>
  <c r="M316" i="1"/>
  <c r="L316" i="1"/>
  <c r="K316" i="1"/>
  <c r="J316" i="1"/>
  <c r="I316" i="1"/>
  <c r="G316" i="1"/>
  <c r="F316" i="1"/>
  <c r="B316" i="1"/>
  <c r="Q315" i="1"/>
  <c r="H315" i="1" s="1"/>
  <c r="N315" i="1"/>
  <c r="M315" i="1"/>
  <c r="L315" i="1"/>
  <c r="K315" i="1"/>
  <c r="J315" i="1"/>
  <c r="I315" i="1"/>
  <c r="G315" i="1"/>
  <c r="F315" i="1"/>
  <c r="B315" i="1"/>
  <c r="Q314" i="1"/>
  <c r="N314" i="1"/>
  <c r="M314" i="1"/>
  <c r="L314" i="1"/>
  <c r="K314" i="1"/>
  <c r="J314" i="1"/>
  <c r="I314" i="1"/>
  <c r="G314" i="1"/>
  <c r="F314" i="1"/>
  <c r="B314" i="1"/>
  <c r="Q313" i="1"/>
  <c r="H313" i="1" s="1"/>
  <c r="N313" i="1"/>
  <c r="M313" i="1"/>
  <c r="L313" i="1"/>
  <c r="K313" i="1"/>
  <c r="J313" i="1"/>
  <c r="I313" i="1"/>
  <c r="G313" i="1"/>
  <c r="F313" i="1"/>
  <c r="B313" i="1"/>
  <c r="Q312" i="1"/>
  <c r="H312" i="1" s="1"/>
  <c r="N312" i="1"/>
  <c r="M312" i="1"/>
  <c r="L312" i="1"/>
  <c r="K312" i="1"/>
  <c r="J312" i="1"/>
  <c r="I312" i="1"/>
  <c r="G312" i="1"/>
  <c r="F312" i="1"/>
  <c r="B312" i="1"/>
  <c r="Q311" i="1"/>
  <c r="H311" i="1" s="1"/>
  <c r="N311" i="1"/>
  <c r="M311" i="1"/>
  <c r="L311" i="1"/>
  <c r="K311" i="1"/>
  <c r="J311" i="1"/>
  <c r="I311" i="1"/>
  <c r="G311" i="1"/>
  <c r="F311" i="1"/>
  <c r="B311" i="1"/>
  <c r="Q310" i="1"/>
  <c r="N310" i="1"/>
  <c r="M310" i="1"/>
  <c r="L310" i="1"/>
  <c r="K310" i="1"/>
  <c r="J310" i="1"/>
  <c r="I310" i="1"/>
  <c r="G310" i="1"/>
  <c r="F310" i="1"/>
  <c r="B310" i="1"/>
  <c r="Q309" i="1"/>
  <c r="H309" i="1" s="1"/>
  <c r="N309" i="1"/>
  <c r="M309" i="1"/>
  <c r="L309" i="1"/>
  <c r="K309" i="1"/>
  <c r="J309" i="1"/>
  <c r="I309" i="1"/>
  <c r="G309" i="1"/>
  <c r="F309" i="1"/>
  <c r="B309" i="1"/>
  <c r="Q308" i="1"/>
  <c r="H308" i="1" s="1"/>
  <c r="N308" i="1"/>
  <c r="M308" i="1"/>
  <c r="L308" i="1"/>
  <c r="K308" i="1"/>
  <c r="J308" i="1"/>
  <c r="I308" i="1"/>
  <c r="G308" i="1"/>
  <c r="F308" i="1"/>
  <c r="B308" i="1"/>
  <c r="Q307" i="1"/>
  <c r="H307" i="1" s="1"/>
  <c r="N307" i="1"/>
  <c r="M307" i="1"/>
  <c r="L307" i="1"/>
  <c r="K307" i="1"/>
  <c r="J307" i="1"/>
  <c r="I307" i="1"/>
  <c r="G307" i="1"/>
  <c r="F307" i="1"/>
  <c r="B307" i="1"/>
  <c r="Q306" i="1"/>
  <c r="N306" i="1"/>
  <c r="M306" i="1"/>
  <c r="L306" i="1"/>
  <c r="K306" i="1"/>
  <c r="J306" i="1"/>
  <c r="I306" i="1"/>
  <c r="G306" i="1"/>
  <c r="F306" i="1"/>
  <c r="B306" i="1"/>
  <c r="Q305" i="1"/>
  <c r="H305" i="1" s="1"/>
  <c r="N305" i="1"/>
  <c r="M305" i="1"/>
  <c r="L305" i="1"/>
  <c r="K305" i="1"/>
  <c r="J305" i="1"/>
  <c r="I305" i="1"/>
  <c r="G305" i="1"/>
  <c r="F305" i="1"/>
  <c r="B305" i="1"/>
  <c r="Q304" i="1"/>
  <c r="H304" i="1" s="1"/>
  <c r="N304" i="1"/>
  <c r="M304" i="1"/>
  <c r="L304" i="1"/>
  <c r="K304" i="1"/>
  <c r="J304" i="1"/>
  <c r="I304" i="1"/>
  <c r="G304" i="1"/>
  <c r="F304" i="1"/>
  <c r="B304" i="1"/>
  <c r="Q303" i="1"/>
  <c r="H303" i="1" s="1"/>
  <c r="N303" i="1"/>
  <c r="M303" i="1"/>
  <c r="L303" i="1"/>
  <c r="K303" i="1"/>
  <c r="J303" i="1"/>
  <c r="I303" i="1"/>
  <c r="G303" i="1"/>
  <c r="F303" i="1"/>
  <c r="B303" i="1"/>
  <c r="Q302" i="1"/>
  <c r="N302" i="1"/>
  <c r="M302" i="1"/>
  <c r="L302" i="1"/>
  <c r="K302" i="1"/>
  <c r="J302" i="1"/>
  <c r="I302" i="1"/>
  <c r="G302" i="1"/>
  <c r="F302" i="1"/>
  <c r="B302" i="1"/>
  <c r="Q301" i="1"/>
  <c r="H301" i="1" s="1"/>
  <c r="N301" i="1"/>
  <c r="M301" i="1"/>
  <c r="L301" i="1"/>
  <c r="K301" i="1"/>
  <c r="J301" i="1"/>
  <c r="I301" i="1"/>
  <c r="G301" i="1"/>
  <c r="F301" i="1"/>
  <c r="B301" i="1"/>
  <c r="Q300" i="1"/>
  <c r="H300" i="1" s="1"/>
  <c r="N300" i="1"/>
  <c r="M300" i="1"/>
  <c r="L300" i="1"/>
  <c r="K300" i="1"/>
  <c r="J300" i="1"/>
  <c r="I300" i="1"/>
  <c r="G300" i="1"/>
  <c r="F300" i="1"/>
  <c r="B300" i="1"/>
  <c r="Q299" i="1"/>
  <c r="H299" i="1" s="1"/>
  <c r="N299" i="1"/>
  <c r="M299" i="1"/>
  <c r="L299" i="1"/>
  <c r="K299" i="1"/>
  <c r="J299" i="1"/>
  <c r="I299" i="1"/>
  <c r="G299" i="1"/>
  <c r="F299" i="1"/>
  <c r="B299" i="1"/>
  <c r="Q298" i="1"/>
  <c r="N298" i="1"/>
  <c r="M298" i="1"/>
  <c r="L298" i="1"/>
  <c r="K298" i="1"/>
  <c r="J298" i="1"/>
  <c r="I298" i="1"/>
  <c r="G298" i="1"/>
  <c r="F298" i="1"/>
  <c r="B298" i="1"/>
  <c r="Q297" i="1"/>
  <c r="H297" i="1" s="1"/>
  <c r="N297" i="1"/>
  <c r="M297" i="1"/>
  <c r="L297" i="1"/>
  <c r="K297" i="1"/>
  <c r="J297" i="1"/>
  <c r="I297" i="1"/>
  <c r="G297" i="1"/>
  <c r="F297" i="1"/>
  <c r="B297" i="1"/>
  <c r="Q296" i="1"/>
  <c r="H296" i="1" s="1"/>
  <c r="N296" i="1"/>
  <c r="M296" i="1"/>
  <c r="L296" i="1"/>
  <c r="K296" i="1"/>
  <c r="J296" i="1"/>
  <c r="I296" i="1"/>
  <c r="G296" i="1"/>
  <c r="F296" i="1"/>
  <c r="B296" i="1"/>
  <c r="A296" i="1"/>
  <c r="C296" i="1" s="1"/>
  <c r="Q295" i="1"/>
  <c r="H295" i="1" s="1"/>
  <c r="N295" i="1"/>
  <c r="M295" i="1"/>
  <c r="L295" i="1"/>
  <c r="K295" i="1"/>
  <c r="J295" i="1"/>
  <c r="I295" i="1"/>
  <c r="G295" i="1"/>
  <c r="F295" i="1"/>
  <c r="B295" i="1"/>
  <c r="Q294" i="1"/>
  <c r="N294" i="1"/>
  <c r="M294" i="1"/>
  <c r="L294" i="1"/>
  <c r="K294" i="1"/>
  <c r="J294" i="1"/>
  <c r="I294" i="1"/>
  <c r="G294" i="1"/>
  <c r="F294" i="1"/>
  <c r="B294" i="1"/>
  <c r="Q293" i="1"/>
  <c r="H293" i="1" s="1"/>
  <c r="N293" i="1"/>
  <c r="M293" i="1"/>
  <c r="L293" i="1"/>
  <c r="K293" i="1"/>
  <c r="J293" i="1"/>
  <c r="I293" i="1"/>
  <c r="G293" i="1"/>
  <c r="F293" i="1"/>
  <c r="B293" i="1"/>
  <c r="Q292" i="1"/>
  <c r="H292" i="1" s="1"/>
  <c r="N292" i="1"/>
  <c r="M292" i="1"/>
  <c r="L292" i="1"/>
  <c r="K292" i="1"/>
  <c r="J292" i="1"/>
  <c r="I292" i="1"/>
  <c r="G292" i="1"/>
  <c r="F292" i="1"/>
  <c r="B292" i="1"/>
  <c r="Q291" i="1"/>
  <c r="H291" i="1" s="1"/>
  <c r="N291" i="1"/>
  <c r="M291" i="1"/>
  <c r="L291" i="1"/>
  <c r="K291" i="1"/>
  <c r="J291" i="1"/>
  <c r="I291" i="1"/>
  <c r="G291" i="1"/>
  <c r="F291" i="1"/>
  <c r="B291" i="1"/>
  <c r="Q290" i="1"/>
  <c r="N290" i="1"/>
  <c r="M290" i="1"/>
  <c r="L290" i="1"/>
  <c r="K290" i="1"/>
  <c r="J290" i="1"/>
  <c r="I290" i="1"/>
  <c r="G290" i="1"/>
  <c r="F290" i="1"/>
  <c r="B290" i="1"/>
  <c r="Q289" i="1"/>
  <c r="H289" i="1" s="1"/>
  <c r="N289" i="1"/>
  <c r="M289" i="1"/>
  <c r="L289" i="1"/>
  <c r="K289" i="1"/>
  <c r="J289" i="1"/>
  <c r="I289" i="1"/>
  <c r="G289" i="1"/>
  <c r="F289" i="1"/>
  <c r="B289" i="1"/>
  <c r="A289" i="1"/>
  <c r="C289" i="1" s="1"/>
  <c r="Q288" i="1"/>
  <c r="H288" i="1" s="1"/>
  <c r="N288" i="1"/>
  <c r="M288" i="1"/>
  <c r="L288" i="1"/>
  <c r="K288" i="1"/>
  <c r="J288" i="1"/>
  <c r="I288" i="1"/>
  <c r="G288" i="1"/>
  <c r="F288" i="1"/>
  <c r="B288" i="1"/>
  <c r="Q287" i="1"/>
  <c r="H287" i="1" s="1"/>
  <c r="N287" i="1"/>
  <c r="M287" i="1"/>
  <c r="L287" i="1"/>
  <c r="K287" i="1"/>
  <c r="J287" i="1"/>
  <c r="I287" i="1"/>
  <c r="G287" i="1"/>
  <c r="F287" i="1"/>
  <c r="B287" i="1"/>
  <c r="Q286" i="1"/>
  <c r="N286" i="1"/>
  <c r="M286" i="1"/>
  <c r="L286" i="1"/>
  <c r="K286" i="1"/>
  <c r="J286" i="1"/>
  <c r="I286" i="1"/>
  <c r="G286" i="1"/>
  <c r="F286" i="1"/>
  <c r="B286" i="1"/>
  <c r="Q285" i="1"/>
  <c r="H285" i="1" s="1"/>
  <c r="N285" i="1"/>
  <c r="M285" i="1"/>
  <c r="L285" i="1"/>
  <c r="K285" i="1"/>
  <c r="J285" i="1"/>
  <c r="I285" i="1"/>
  <c r="G285" i="1"/>
  <c r="F285" i="1"/>
  <c r="B285" i="1"/>
  <c r="Q284" i="1"/>
  <c r="H284" i="1" s="1"/>
  <c r="N284" i="1"/>
  <c r="M284" i="1"/>
  <c r="L284" i="1"/>
  <c r="K284" i="1"/>
  <c r="J284" i="1"/>
  <c r="I284" i="1"/>
  <c r="G284" i="1"/>
  <c r="F284" i="1"/>
  <c r="B284" i="1"/>
  <c r="Q283" i="1"/>
  <c r="H283" i="1" s="1"/>
  <c r="N283" i="1"/>
  <c r="M283" i="1"/>
  <c r="L283" i="1"/>
  <c r="K283" i="1"/>
  <c r="J283" i="1"/>
  <c r="I283" i="1"/>
  <c r="G283" i="1"/>
  <c r="F283" i="1"/>
  <c r="B283" i="1"/>
  <c r="Q282" i="1"/>
  <c r="N282" i="1"/>
  <c r="M282" i="1"/>
  <c r="L282" i="1"/>
  <c r="K282" i="1"/>
  <c r="J282" i="1"/>
  <c r="I282" i="1"/>
  <c r="G282" i="1"/>
  <c r="F282" i="1"/>
  <c r="B282" i="1"/>
  <c r="Q281" i="1"/>
  <c r="H281" i="1" s="1"/>
  <c r="N281" i="1"/>
  <c r="M281" i="1"/>
  <c r="L281" i="1"/>
  <c r="K281" i="1"/>
  <c r="J281" i="1"/>
  <c r="I281" i="1"/>
  <c r="G281" i="1"/>
  <c r="F281" i="1"/>
  <c r="B281" i="1"/>
  <c r="Q280" i="1"/>
  <c r="H280" i="1" s="1"/>
  <c r="N280" i="1"/>
  <c r="M280" i="1"/>
  <c r="L280" i="1"/>
  <c r="K280" i="1"/>
  <c r="J280" i="1"/>
  <c r="I280" i="1"/>
  <c r="G280" i="1"/>
  <c r="F280" i="1"/>
  <c r="B280" i="1"/>
  <c r="Q279" i="1"/>
  <c r="H279" i="1" s="1"/>
  <c r="N279" i="1"/>
  <c r="M279" i="1"/>
  <c r="L279" i="1"/>
  <c r="K279" i="1"/>
  <c r="J279" i="1"/>
  <c r="I279" i="1"/>
  <c r="G279" i="1"/>
  <c r="F279" i="1"/>
  <c r="B279" i="1"/>
  <c r="Q278" i="1"/>
  <c r="N278" i="1"/>
  <c r="M278" i="1"/>
  <c r="L278" i="1"/>
  <c r="K278" i="1"/>
  <c r="J278" i="1"/>
  <c r="I278" i="1"/>
  <c r="G278" i="1"/>
  <c r="F278" i="1"/>
  <c r="B278" i="1"/>
  <c r="Q277" i="1"/>
  <c r="H277" i="1" s="1"/>
  <c r="N277" i="1"/>
  <c r="M277" i="1"/>
  <c r="L277" i="1"/>
  <c r="K277" i="1"/>
  <c r="J277" i="1"/>
  <c r="I277" i="1"/>
  <c r="G277" i="1"/>
  <c r="F277" i="1"/>
  <c r="B277" i="1"/>
  <c r="Q276" i="1"/>
  <c r="H276" i="1" s="1"/>
  <c r="N276" i="1"/>
  <c r="M276" i="1"/>
  <c r="L276" i="1"/>
  <c r="K276" i="1"/>
  <c r="J276" i="1"/>
  <c r="I276" i="1"/>
  <c r="G276" i="1"/>
  <c r="F276" i="1"/>
  <c r="B276" i="1"/>
  <c r="Q275" i="1"/>
  <c r="H275" i="1" s="1"/>
  <c r="N275" i="1"/>
  <c r="M275" i="1"/>
  <c r="L275" i="1"/>
  <c r="K275" i="1"/>
  <c r="J275" i="1"/>
  <c r="I275" i="1"/>
  <c r="G275" i="1"/>
  <c r="F275" i="1"/>
  <c r="B275" i="1"/>
  <c r="Q274" i="1"/>
  <c r="N274" i="1"/>
  <c r="M274" i="1"/>
  <c r="L274" i="1"/>
  <c r="K274" i="1"/>
  <c r="J274" i="1"/>
  <c r="I274" i="1"/>
  <c r="G274" i="1"/>
  <c r="F274" i="1"/>
  <c r="B274" i="1"/>
  <c r="Q273" i="1"/>
  <c r="H273" i="1" s="1"/>
  <c r="N273" i="1"/>
  <c r="M273" i="1"/>
  <c r="L273" i="1"/>
  <c r="K273" i="1"/>
  <c r="J273" i="1"/>
  <c r="I273" i="1"/>
  <c r="G273" i="1"/>
  <c r="F273" i="1"/>
  <c r="B273" i="1"/>
  <c r="Q272" i="1"/>
  <c r="H272" i="1" s="1"/>
  <c r="N272" i="1"/>
  <c r="M272" i="1"/>
  <c r="L272" i="1"/>
  <c r="K272" i="1"/>
  <c r="J272" i="1"/>
  <c r="I272" i="1"/>
  <c r="G272" i="1"/>
  <c r="F272" i="1"/>
  <c r="B272" i="1"/>
  <c r="Q271" i="1"/>
  <c r="H271" i="1" s="1"/>
  <c r="N271" i="1"/>
  <c r="M271" i="1"/>
  <c r="L271" i="1"/>
  <c r="K271" i="1"/>
  <c r="J271" i="1"/>
  <c r="I271" i="1"/>
  <c r="G271" i="1"/>
  <c r="F271" i="1"/>
  <c r="B271" i="1"/>
  <c r="Q270" i="1"/>
  <c r="N270" i="1"/>
  <c r="M270" i="1"/>
  <c r="L270" i="1"/>
  <c r="K270" i="1"/>
  <c r="J270" i="1"/>
  <c r="I270" i="1"/>
  <c r="G270" i="1"/>
  <c r="F270" i="1"/>
  <c r="B270" i="1"/>
  <c r="Q269" i="1"/>
  <c r="H269" i="1" s="1"/>
  <c r="N269" i="1"/>
  <c r="M269" i="1"/>
  <c r="L269" i="1"/>
  <c r="K269" i="1"/>
  <c r="J269" i="1"/>
  <c r="I269" i="1"/>
  <c r="G269" i="1"/>
  <c r="F269" i="1"/>
  <c r="B269" i="1"/>
  <c r="Q268" i="1"/>
  <c r="H268" i="1" s="1"/>
  <c r="N268" i="1"/>
  <c r="M268" i="1"/>
  <c r="L268" i="1"/>
  <c r="K268" i="1"/>
  <c r="J268" i="1"/>
  <c r="I268" i="1"/>
  <c r="G268" i="1"/>
  <c r="F268" i="1"/>
  <c r="B268" i="1"/>
  <c r="Q267" i="1"/>
  <c r="H267" i="1" s="1"/>
  <c r="N267" i="1"/>
  <c r="M267" i="1"/>
  <c r="L267" i="1"/>
  <c r="K267" i="1"/>
  <c r="J267" i="1"/>
  <c r="I267" i="1"/>
  <c r="G267" i="1"/>
  <c r="F267" i="1"/>
  <c r="B267" i="1"/>
  <c r="Q266" i="1"/>
  <c r="N266" i="1"/>
  <c r="M266" i="1"/>
  <c r="L266" i="1"/>
  <c r="K266" i="1"/>
  <c r="J266" i="1"/>
  <c r="I266" i="1"/>
  <c r="G266" i="1"/>
  <c r="F266" i="1"/>
  <c r="B266" i="1"/>
  <c r="Q265" i="1"/>
  <c r="H265" i="1" s="1"/>
  <c r="N265" i="1"/>
  <c r="M265" i="1"/>
  <c r="L265" i="1"/>
  <c r="K265" i="1"/>
  <c r="J265" i="1"/>
  <c r="I265" i="1"/>
  <c r="G265" i="1"/>
  <c r="F265" i="1"/>
  <c r="B265" i="1"/>
  <c r="Q264" i="1"/>
  <c r="H264" i="1" s="1"/>
  <c r="N264" i="1"/>
  <c r="M264" i="1"/>
  <c r="L264" i="1"/>
  <c r="K264" i="1"/>
  <c r="J264" i="1"/>
  <c r="I264" i="1"/>
  <c r="G264" i="1"/>
  <c r="F264" i="1"/>
  <c r="B264" i="1"/>
  <c r="A264" i="1"/>
  <c r="C264" i="1" s="1"/>
  <c r="Q263" i="1"/>
  <c r="H263" i="1" s="1"/>
  <c r="N263" i="1"/>
  <c r="M263" i="1"/>
  <c r="L263" i="1"/>
  <c r="K263" i="1"/>
  <c r="J263" i="1"/>
  <c r="I263" i="1"/>
  <c r="G263" i="1"/>
  <c r="F263" i="1"/>
  <c r="B263" i="1"/>
  <c r="Q262" i="1"/>
  <c r="N262" i="1"/>
  <c r="M262" i="1"/>
  <c r="L262" i="1"/>
  <c r="K262" i="1"/>
  <c r="J262" i="1"/>
  <c r="I262" i="1"/>
  <c r="G262" i="1"/>
  <c r="F262" i="1"/>
  <c r="B262" i="1"/>
  <c r="Q261" i="1"/>
  <c r="H261" i="1" s="1"/>
  <c r="N261" i="1"/>
  <c r="M261" i="1"/>
  <c r="L261" i="1"/>
  <c r="K261" i="1"/>
  <c r="J261" i="1"/>
  <c r="I261" i="1"/>
  <c r="G261" i="1"/>
  <c r="F261" i="1"/>
  <c r="B261" i="1"/>
  <c r="Q260" i="1"/>
  <c r="H260" i="1" s="1"/>
  <c r="N260" i="1"/>
  <c r="M260" i="1"/>
  <c r="L260" i="1"/>
  <c r="K260" i="1"/>
  <c r="J260" i="1"/>
  <c r="I260" i="1"/>
  <c r="G260" i="1"/>
  <c r="F260" i="1"/>
  <c r="B260" i="1"/>
  <c r="Q259" i="1"/>
  <c r="H259" i="1" s="1"/>
  <c r="N259" i="1"/>
  <c r="M259" i="1"/>
  <c r="L259" i="1"/>
  <c r="K259" i="1"/>
  <c r="J259" i="1"/>
  <c r="I259" i="1"/>
  <c r="G259" i="1"/>
  <c r="F259" i="1"/>
  <c r="B259" i="1"/>
  <c r="Q258" i="1"/>
  <c r="N258" i="1"/>
  <c r="M258" i="1"/>
  <c r="L258" i="1"/>
  <c r="K258" i="1"/>
  <c r="J258" i="1"/>
  <c r="I258" i="1"/>
  <c r="G258" i="1"/>
  <c r="F258" i="1"/>
  <c r="B258" i="1"/>
  <c r="Q257" i="1"/>
  <c r="H257" i="1" s="1"/>
  <c r="N257" i="1"/>
  <c r="M257" i="1"/>
  <c r="L257" i="1"/>
  <c r="K257" i="1"/>
  <c r="J257" i="1"/>
  <c r="I257" i="1"/>
  <c r="G257" i="1"/>
  <c r="F257" i="1"/>
  <c r="B257" i="1"/>
  <c r="A257" i="1"/>
  <c r="C257" i="1" s="1"/>
  <c r="Q256" i="1"/>
  <c r="H256" i="1" s="1"/>
  <c r="N256" i="1"/>
  <c r="M256" i="1"/>
  <c r="L256" i="1"/>
  <c r="K256" i="1"/>
  <c r="J256" i="1"/>
  <c r="I256" i="1"/>
  <c r="G256" i="1"/>
  <c r="F256" i="1"/>
  <c r="B256" i="1"/>
  <c r="Q255" i="1"/>
  <c r="H255" i="1" s="1"/>
  <c r="N255" i="1"/>
  <c r="M255" i="1"/>
  <c r="L255" i="1"/>
  <c r="K255" i="1"/>
  <c r="J255" i="1"/>
  <c r="I255" i="1"/>
  <c r="G255" i="1"/>
  <c r="F255" i="1"/>
  <c r="B255" i="1"/>
  <c r="Q254" i="1"/>
  <c r="N254" i="1"/>
  <c r="M254" i="1"/>
  <c r="L254" i="1"/>
  <c r="K254" i="1"/>
  <c r="J254" i="1"/>
  <c r="I254" i="1"/>
  <c r="G254" i="1"/>
  <c r="F254" i="1"/>
  <c r="B254" i="1"/>
  <c r="Q253" i="1"/>
  <c r="H253" i="1" s="1"/>
  <c r="N253" i="1"/>
  <c r="M253" i="1"/>
  <c r="L253" i="1"/>
  <c r="K253" i="1"/>
  <c r="J253" i="1"/>
  <c r="I253" i="1"/>
  <c r="G253" i="1"/>
  <c r="F253" i="1"/>
  <c r="B253" i="1"/>
  <c r="Q252" i="1"/>
  <c r="H252" i="1" s="1"/>
  <c r="N252" i="1"/>
  <c r="M252" i="1"/>
  <c r="L252" i="1"/>
  <c r="K252" i="1"/>
  <c r="J252" i="1"/>
  <c r="I252" i="1"/>
  <c r="G252" i="1"/>
  <c r="F252" i="1"/>
  <c r="B252" i="1"/>
  <c r="Q251" i="1"/>
  <c r="H251" i="1" s="1"/>
  <c r="N251" i="1"/>
  <c r="M251" i="1"/>
  <c r="L251" i="1"/>
  <c r="K251" i="1"/>
  <c r="J251" i="1"/>
  <c r="I251" i="1"/>
  <c r="G251" i="1"/>
  <c r="F251" i="1"/>
  <c r="B251" i="1"/>
  <c r="Q250" i="1"/>
  <c r="N250" i="1"/>
  <c r="M250" i="1"/>
  <c r="L250" i="1"/>
  <c r="K250" i="1"/>
  <c r="J250" i="1"/>
  <c r="I250" i="1"/>
  <c r="G250" i="1"/>
  <c r="F250" i="1"/>
  <c r="B250" i="1"/>
  <c r="Q249" i="1"/>
  <c r="H249" i="1" s="1"/>
  <c r="N249" i="1"/>
  <c r="M249" i="1"/>
  <c r="L249" i="1"/>
  <c r="K249" i="1"/>
  <c r="J249" i="1"/>
  <c r="I249" i="1"/>
  <c r="G249" i="1"/>
  <c r="F249" i="1"/>
  <c r="B249" i="1"/>
  <c r="Q248" i="1"/>
  <c r="H248" i="1" s="1"/>
  <c r="N248" i="1"/>
  <c r="M248" i="1"/>
  <c r="L248" i="1"/>
  <c r="K248" i="1"/>
  <c r="J248" i="1"/>
  <c r="I248" i="1"/>
  <c r="G248" i="1"/>
  <c r="F248" i="1"/>
  <c r="B248" i="1"/>
  <c r="Q247" i="1"/>
  <c r="H247" i="1" s="1"/>
  <c r="N247" i="1"/>
  <c r="M247" i="1"/>
  <c r="L247" i="1"/>
  <c r="K247" i="1"/>
  <c r="J247" i="1"/>
  <c r="I247" i="1"/>
  <c r="G247" i="1"/>
  <c r="F247" i="1"/>
  <c r="B247" i="1"/>
  <c r="Q246" i="1"/>
  <c r="N246" i="1"/>
  <c r="M246" i="1"/>
  <c r="L246" i="1"/>
  <c r="K246" i="1"/>
  <c r="J246" i="1"/>
  <c r="I246" i="1"/>
  <c r="G246" i="1"/>
  <c r="F246" i="1"/>
  <c r="B246" i="1"/>
  <c r="Q245" i="1"/>
  <c r="H245" i="1" s="1"/>
  <c r="N245" i="1"/>
  <c r="M245" i="1"/>
  <c r="L245" i="1"/>
  <c r="K245" i="1"/>
  <c r="J245" i="1"/>
  <c r="I245" i="1"/>
  <c r="G245" i="1"/>
  <c r="F245" i="1"/>
  <c r="B245" i="1"/>
  <c r="Q244" i="1"/>
  <c r="H244" i="1" s="1"/>
  <c r="N244" i="1"/>
  <c r="M244" i="1"/>
  <c r="L244" i="1"/>
  <c r="K244" i="1"/>
  <c r="J244" i="1"/>
  <c r="I244" i="1"/>
  <c r="G244" i="1"/>
  <c r="F244" i="1"/>
  <c r="B244" i="1"/>
  <c r="Q243" i="1"/>
  <c r="H243" i="1" s="1"/>
  <c r="N243" i="1"/>
  <c r="M243" i="1"/>
  <c r="L243" i="1"/>
  <c r="K243" i="1"/>
  <c r="J243" i="1"/>
  <c r="I243" i="1"/>
  <c r="G243" i="1"/>
  <c r="F243" i="1"/>
  <c r="B243" i="1"/>
  <c r="Q242" i="1"/>
  <c r="N242" i="1"/>
  <c r="M242" i="1"/>
  <c r="L242" i="1"/>
  <c r="K242" i="1"/>
  <c r="J242" i="1"/>
  <c r="I242" i="1"/>
  <c r="G242" i="1"/>
  <c r="F242" i="1"/>
  <c r="B242" i="1"/>
  <c r="Q241" i="1"/>
  <c r="H241" i="1" s="1"/>
  <c r="N241" i="1"/>
  <c r="M241" i="1"/>
  <c r="L241" i="1"/>
  <c r="K241" i="1"/>
  <c r="J241" i="1"/>
  <c r="I241" i="1"/>
  <c r="G241" i="1"/>
  <c r="F241" i="1"/>
  <c r="B241" i="1"/>
  <c r="Q240" i="1"/>
  <c r="H240" i="1" s="1"/>
  <c r="N240" i="1"/>
  <c r="M240" i="1"/>
  <c r="L240" i="1"/>
  <c r="K240" i="1"/>
  <c r="J240" i="1"/>
  <c r="I240" i="1"/>
  <c r="G240" i="1"/>
  <c r="F240" i="1"/>
  <c r="B240" i="1"/>
  <c r="Q239" i="1"/>
  <c r="H239" i="1" s="1"/>
  <c r="N239" i="1"/>
  <c r="M239" i="1"/>
  <c r="L239" i="1"/>
  <c r="K239" i="1"/>
  <c r="J239" i="1"/>
  <c r="I239" i="1"/>
  <c r="G239" i="1"/>
  <c r="F239" i="1"/>
  <c r="B239" i="1"/>
  <c r="Q238" i="1"/>
  <c r="N238" i="1"/>
  <c r="M238" i="1"/>
  <c r="L238" i="1"/>
  <c r="K238" i="1"/>
  <c r="J238" i="1"/>
  <c r="I238" i="1"/>
  <c r="G238" i="1"/>
  <c r="F238" i="1"/>
  <c r="B238" i="1"/>
  <c r="Q237" i="1"/>
  <c r="H237" i="1" s="1"/>
  <c r="N237" i="1"/>
  <c r="M237" i="1"/>
  <c r="L237" i="1"/>
  <c r="K237" i="1"/>
  <c r="J237" i="1"/>
  <c r="I237" i="1"/>
  <c r="G237" i="1"/>
  <c r="F237" i="1"/>
  <c r="B237" i="1"/>
  <c r="Q236" i="1"/>
  <c r="H236" i="1" s="1"/>
  <c r="N236" i="1"/>
  <c r="M236" i="1"/>
  <c r="L236" i="1"/>
  <c r="K236" i="1"/>
  <c r="J236" i="1"/>
  <c r="I236" i="1"/>
  <c r="G236" i="1"/>
  <c r="F236" i="1"/>
  <c r="B236" i="1"/>
  <c r="Q235" i="1"/>
  <c r="H235" i="1" s="1"/>
  <c r="N235" i="1"/>
  <c r="M235" i="1"/>
  <c r="L235" i="1"/>
  <c r="K235" i="1"/>
  <c r="J235" i="1"/>
  <c r="I235" i="1"/>
  <c r="G235" i="1"/>
  <c r="F235" i="1"/>
  <c r="B235" i="1"/>
  <c r="Q234" i="1"/>
  <c r="N234" i="1"/>
  <c r="M234" i="1"/>
  <c r="L234" i="1"/>
  <c r="K234" i="1"/>
  <c r="J234" i="1"/>
  <c r="I234" i="1"/>
  <c r="G234" i="1"/>
  <c r="F234" i="1"/>
  <c r="B234" i="1"/>
  <c r="Q233" i="1"/>
  <c r="H233" i="1" s="1"/>
  <c r="N233" i="1"/>
  <c r="M233" i="1"/>
  <c r="L233" i="1"/>
  <c r="K233" i="1"/>
  <c r="J233" i="1"/>
  <c r="I233" i="1"/>
  <c r="G233" i="1"/>
  <c r="F233" i="1"/>
  <c r="B233" i="1"/>
  <c r="Q232" i="1"/>
  <c r="H232" i="1" s="1"/>
  <c r="N232" i="1"/>
  <c r="M232" i="1"/>
  <c r="L232" i="1"/>
  <c r="K232" i="1"/>
  <c r="J232" i="1"/>
  <c r="I232" i="1"/>
  <c r="G232" i="1"/>
  <c r="F232" i="1"/>
  <c r="B232" i="1"/>
  <c r="A232" i="1"/>
  <c r="C232" i="1" s="1"/>
  <c r="Q231" i="1"/>
  <c r="H231" i="1" s="1"/>
  <c r="N231" i="1"/>
  <c r="M231" i="1"/>
  <c r="L231" i="1"/>
  <c r="K231" i="1"/>
  <c r="J231" i="1"/>
  <c r="I231" i="1"/>
  <c r="G231" i="1"/>
  <c r="F231" i="1"/>
  <c r="B231" i="1"/>
  <c r="Q230" i="1"/>
  <c r="N230" i="1"/>
  <c r="M230" i="1"/>
  <c r="L230" i="1"/>
  <c r="K230" i="1"/>
  <c r="J230" i="1"/>
  <c r="I230" i="1"/>
  <c r="G230" i="1"/>
  <c r="F230" i="1"/>
  <c r="B230" i="1"/>
  <c r="Q229" i="1"/>
  <c r="H229" i="1" s="1"/>
  <c r="N229" i="1"/>
  <c r="M229" i="1"/>
  <c r="L229" i="1"/>
  <c r="K229" i="1"/>
  <c r="J229" i="1"/>
  <c r="I229" i="1"/>
  <c r="G229" i="1"/>
  <c r="F229" i="1"/>
  <c r="B229" i="1"/>
  <c r="Q228" i="1"/>
  <c r="H228" i="1" s="1"/>
  <c r="N228" i="1"/>
  <c r="M228" i="1"/>
  <c r="L228" i="1"/>
  <c r="K228" i="1"/>
  <c r="J228" i="1"/>
  <c r="I228" i="1"/>
  <c r="G228" i="1"/>
  <c r="F228" i="1"/>
  <c r="B228" i="1"/>
  <c r="Q227" i="1"/>
  <c r="H227" i="1" s="1"/>
  <c r="N227" i="1"/>
  <c r="M227" i="1"/>
  <c r="L227" i="1"/>
  <c r="K227" i="1"/>
  <c r="J227" i="1"/>
  <c r="I227" i="1"/>
  <c r="G227" i="1"/>
  <c r="F227" i="1"/>
  <c r="B227" i="1"/>
  <c r="Q226" i="1"/>
  <c r="N226" i="1"/>
  <c r="M226" i="1"/>
  <c r="L226" i="1"/>
  <c r="K226" i="1"/>
  <c r="J226" i="1"/>
  <c r="I226" i="1"/>
  <c r="G226" i="1"/>
  <c r="F226" i="1"/>
  <c r="B226" i="1"/>
  <c r="Q225" i="1"/>
  <c r="H225" i="1" s="1"/>
  <c r="N225" i="1"/>
  <c r="M225" i="1"/>
  <c r="L225" i="1"/>
  <c r="K225" i="1"/>
  <c r="J225" i="1"/>
  <c r="I225" i="1"/>
  <c r="G225" i="1"/>
  <c r="F225" i="1"/>
  <c r="B225" i="1"/>
  <c r="A225" i="1"/>
  <c r="C225" i="1" s="1"/>
  <c r="Q224" i="1"/>
  <c r="H224" i="1" s="1"/>
  <c r="N224" i="1"/>
  <c r="M224" i="1"/>
  <c r="L224" i="1"/>
  <c r="K224" i="1"/>
  <c r="J224" i="1"/>
  <c r="I224" i="1"/>
  <c r="G224" i="1"/>
  <c r="F224" i="1"/>
  <c r="B224" i="1"/>
  <c r="Q223" i="1"/>
  <c r="N223" i="1"/>
  <c r="M223" i="1"/>
  <c r="L223" i="1"/>
  <c r="K223" i="1"/>
  <c r="J223" i="1"/>
  <c r="I223" i="1"/>
  <c r="G223" i="1"/>
  <c r="F223" i="1"/>
  <c r="B223" i="1"/>
  <c r="Q222" i="1"/>
  <c r="N222" i="1"/>
  <c r="M222" i="1"/>
  <c r="L222" i="1"/>
  <c r="K222" i="1"/>
  <c r="J222" i="1"/>
  <c r="I222" i="1"/>
  <c r="G222" i="1"/>
  <c r="F222" i="1"/>
  <c r="B222" i="1"/>
  <c r="Q221" i="1"/>
  <c r="H221" i="1" s="1"/>
  <c r="N221" i="1"/>
  <c r="M221" i="1"/>
  <c r="L221" i="1"/>
  <c r="K221" i="1"/>
  <c r="J221" i="1"/>
  <c r="I221" i="1"/>
  <c r="G221" i="1"/>
  <c r="F221" i="1"/>
  <c r="B221" i="1"/>
  <c r="Q220" i="1"/>
  <c r="H220" i="1" s="1"/>
  <c r="N220" i="1"/>
  <c r="M220" i="1"/>
  <c r="L220" i="1"/>
  <c r="K220" i="1"/>
  <c r="J220" i="1"/>
  <c r="I220" i="1"/>
  <c r="G220" i="1"/>
  <c r="F220" i="1"/>
  <c r="B220" i="1"/>
  <c r="Q219" i="1"/>
  <c r="N219" i="1"/>
  <c r="M219" i="1"/>
  <c r="L219" i="1"/>
  <c r="K219" i="1"/>
  <c r="J219" i="1"/>
  <c r="I219" i="1"/>
  <c r="G219" i="1"/>
  <c r="F219" i="1"/>
  <c r="B219" i="1"/>
  <c r="Q218" i="1"/>
  <c r="N218" i="1"/>
  <c r="M218" i="1"/>
  <c r="L218" i="1"/>
  <c r="K218" i="1"/>
  <c r="J218" i="1"/>
  <c r="I218" i="1"/>
  <c r="G218" i="1"/>
  <c r="F218" i="1"/>
  <c r="B218" i="1"/>
  <c r="Q217" i="1"/>
  <c r="H217" i="1" s="1"/>
  <c r="N217" i="1"/>
  <c r="M217" i="1"/>
  <c r="L217" i="1"/>
  <c r="K217" i="1"/>
  <c r="J217" i="1"/>
  <c r="I217" i="1"/>
  <c r="G217" i="1"/>
  <c r="F217" i="1"/>
  <c r="B217" i="1"/>
  <c r="Q216" i="1"/>
  <c r="H216" i="1" s="1"/>
  <c r="N216" i="1"/>
  <c r="M216" i="1"/>
  <c r="L216" i="1"/>
  <c r="K216" i="1"/>
  <c r="J216" i="1"/>
  <c r="I216" i="1"/>
  <c r="G216" i="1"/>
  <c r="F216" i="1"/>
  <c r="B216" i="1"/>
  <c r="Q215" i="1"/>
  <c r="N215" i="1"/>
  <c r="M215" i="1"/>
  <c r="L215" i="1"/>
  <c r="K215" i="1"/>
  <c r="J215" i="1"/>
  <c r="I215" i="1"/>
  <c r="G215" i="1"/>
  <c r="F215" i="1"/>
  <c r="B215" i="1"/>
  <c r="Q214" i="1"/>
  <c r="N214" i="1"/>
  <c r="M214" i="1"/>
  <c r="L214" i="1"/>
  <c r="K214" i="1"/>
  <c r="J214" i="1"/>
  <c r="I214" i="1"/>
  <c r="G214" i="1"/>
  <c r="F214" i="1"/>
  <c r="B214" i="1"/>
  <c r="Q213" i="1"/>
  <c r="H213" i="1" s="1"/>
  <c r="N213" i="1"/>
  <c r="M213" i="1"/>
  <c r="L213" i="1"/>
  <c r="K213" i="1"/>
  <c r="J213" i="1"/>
  <c r="I213" i="1"/>
  <c r="G213" i="1"/>
  <c r="F213" i="1"/>
  <c r="B213" i="1"/>
  <c r="Q212" i="1"/>
  <c r="H212" i="1" s="1"/>
  <c r="N212" i="1"/>
  <c r="M212" i="1"/>
  <c r="L212" i="1"/>
  <c r="K212" i="1"/>
  <c r="J212" i="1"/>
  <c r="I212" i="1"/>
  <c r="G212" i="1"/>
  <c r="F212" i="1"/>
  <c r="B212" i="1"/>
  <c r="Q211" i="1"/>
  <c r="N211" i="1"/>
  <c r="M211" i="1"/>
  <c r="L211" i="1"/>
  <c r="K211" i="1"/>
  <c r="J211" i="1"/>
  <c r="I211" i="1"/>
  <c r="G211" i="1"/>
  <c r="F211" i="1"/>
  <c r="B211" i="1"/>
  <c r="Q210" i="1"/>
  <c r="N210" i="1"/>
  <c r="M210" i="1"/>
  <c r="L210" i="1"/>
  <c r="K210" i="1"/>
  <c r="J210" i="1"/>
  <c r="I210" i="1"/>
  <c r="G210" i="1"/>
  <c r="F210" i="1"/>
  <c r="B210" i="1"/>
  <c r="Q209" i="1"/>
  <c r="H209" i="1" s="1"/>
  <c r="N209" i="1"/>
  <c r="M209" i="1"/>
  <c r="L209" i="1"/>
  <c r="K209" i="1"/>
  <c r="J209" i="1"/>
  <c r="I209" i="1"/>
  <c r="G209" i="1"/>
  <c r="F209" i="1"/>
  <c r="B209" i="1"/>
  <c r="Q208" i="1"/>
  <c r="H208" i="1" s="1"/>
  <c r="N208" i="1"/>
  <c r="M208" i="1"/>
  <c r="L208" i="1"/>
  <c r="K208" i="1"/>
  <c r="J208" i="1"/>
  <c r="I208" i="1"/>
  <c r="G208" i="1"/>
  <c r="F208" i="1"/>
  <c r="B208" i="1"/>
  <c r="Q207" i="1"/>
  <c r="N207" i="1"/>
  <c r="M207" i="1"/>
  <c r="L207" i="1"/>
  <c r="K207" i="1"/>
  <c r="J207" i="1"/>
  <c r="I207" i="1"/>
  <c r="G207" i="1"/>
  <c r="F207" i="1"/>
  <c r="B207" i="1"/>
  <c r="Q206" i="1"/>
  <c r="N206" i="1"/>
  <c r="M206" i="1"/>
  <c r="L206" i="1"/>
  <c r="K206" i="1"/>
  <c r="J206" i="1"/>
  <c r="I206" i="1"/>
  <c r="G206" i="1"/>
  <c r="F206" i="1"/>
  <c r="B206" i="1"/>
  <c r="Q205" i="1"/>
  <c r="H205" i="1" s="1"/>
  <c r="N205" i="1"/>
  <c r="M205" i="1"/>
  <c r="L205" i="1"/>
  <c r="K205" i="1"/>
  <c r="J205" i="1"/>
  <c r="I205" i="1"/>
  <c r="G205" i="1"/>
  <c r="F205" i="1"/>
  <c r="B205" i="1"/>
  <c r="Q204" i="1"/>
  <c r="H204" i="1" s="1"/>
  <c r="N204" i="1"/>
  <c r="M204" i="1"/>
  <c r="L204" i="1"/>
  <c r="K204" i="1"/>
  <c r="J204" i="1"/>
  <c r="I204" i="1"/>
  <c r="G204" i="1"/>
  <c r="F204" i="1"/>
  <c r="B204" i="1"/>
  <c r="Q203" i="1"/>
  <c r="N203" i="1"/>
  <c r="M203" i="1"/>
  <c r="L203" i="1"/>
  <c r="K203" i="1"/>
  <c r="J203" i="1"/>
  <c r="I203" i="1"/>
  <c r="G203" i="1"/>
  <c r="F203" i="1"/>
  <c r="B203" i="1"/>
  <c r="Q202" i="1"/>
  <c r="N202" i="1"/>
  <c r="M202" i="1"/>
  <c r="L202" i="1"/>
  <c r="K202" i="1"/>
  <c r="J202" i="1"/>
  <c r="I202" i="1"/>
  <c r="G202" i="1"/>
  <c r="F202" i="1"/>
  <c r="B202" i="1"/>
  <c r="Q201" i="1"/>
  <c r="H201" i="1" s="1"/>
  <c r="N201" i="1"/>
  <c r="M201" i="1"/>
  <c r="L201" i="1"/>
  <c r="K201" i="1"/>
  <c r="J201" i="1"/>
  <c r="I201" i="1"/>
  <c r="G201" i="1"/>
  <c r="F201" i="1"/>
  <c r="B201" i="1"/>
  <c r="Q200" i="1"/>
  <c r="H200" i="1" s="1"/>
  <c r="N200" i="1"/>
  <c r="M200" i="1"/>
  <c r="L200" i="1"/>
  <c r="K200" i="1"/>
  <c r="J200" i="1"/>
  <c r="I200" i="1"/>
  <c r="G200" i="1"/>
  <c r="F200" i="1"/>
  <c r="B200" i="1"/>
  <c r="A200" i="1"/>
  <c r="C200" i="1" s="1"/>
  <c r="Q199" i="1"/>
  <c r="N199" i="1"/>
  <c r="M199" i="1"/>
  <c r="L199" i="1"/>
  <c r="K199" i="1"/>
  <c r="J199" i="1"/>
  <c r="I199" i="1"/>
  <c r="G199" i="1"/>
  <c r="F199" i="1"/>
  <c r="B199" i="1"/>
  <c r="Q198" i="1"/>
  <c r="N198" i="1"/>
  <c r="M198" i="1"/>
  <c r="L198" i="1"/>
  <c r="K198" i="1"/>
  <c r="J198" i="1"/>
  <c r="I198" i="1"/>
  <c r="G198" i="1"/>
  <c r="F198" i="1"/>
  <c r="B198" i="1"/>
  <c r="Q197" i="1"/>
  <c r="H197" i="1" s="1"/>
  <c r="N197" i="1"/>
  <c r="M197" i="1"/>
  <c r="L197" i="1"/>
  <c r="K197" i="1"/>
  <c r="J197" i="1"/>
  <c r="I197" i="1"/>
  <c r="G197" i="1"/>
  <c r="F197" i="1"/>
  <c r="B197" i="1"/>
  <c r="Q196" i="1"/>
  <c r="H196" i="1" s="1"/>
  <c r="N196" i="1"/>
  <c r="M196" i="1"/>
  <c r="L196" i="1"/>
  <c r="K196" i="1"/>
  <c r="J196" i="1"/>
  <c r="I196" i="1"/>
  <c r="G196" i="1"/>
  <c r="F196" i="1"/>
  <c r="B196" i="1"/>
  <c r="Q195" i="1"/>
  <c r="N195" i="1"/>
  <c r="M195" i="1"/>
  <c r="L195" i="1"/>
  <c r="K195" i="1"/>
  <c r="J195" i="1"/>
  <c r="I195" i="1"/>
  <c r="G195" i="1"/>
  <c r="F195" i="1"/>
  <c r="B195" i="1"/>
  <c r="Q194" i="1"/>
  <c r="N194" i="1"/>
  <c r="M194" i="1"/>
  <c r="L194" i="1"/>
  <c r="K194" i="1"/>
  <c r="J194" i="1"/>
  <c r="I194" i="1"/>
  <c r="G194" i="1"/>
  <c r="F194" i="1"/>
  <c r="B194" i="1"/>
  <c r="Q193" i="1"/>
  <c r="H193" i="1" s="1"/>
  <c r="N193" i="1"/>
  <c r="M193" i="1"/>
  <c r="L193" i="1"/>
  <c r="K193" i="1"/>
  <c r="J193" i="1"/>
  <c r="I193" i="1"/>
  <c r="G193" i="1"/>
  <c r="F193" i="1"/>
  <c r="B193" i="1"/>
  <c r="A193" i="1"/>
  <c r="C193" i="1" s="1"/>
  <c r="Q192" i="1"/>
  <c r="H192" i="1" s="1"/>
  <c r="N192" i="1"/>
  <c r="M192" i="1"/>
  <c r="L192" i="1"/>
  <c r="K192" i="1"/>
  <c r="J192" i="1"/>
  <c r="I192" i="1"/>
  <c r="G192" i="1"/>
  <c r="F192" i="1"/>
  <c r="B192" i="1"/>
  <c r="Q191" i="1"/>
  <c r="N191" i="1"/>
  <c r="M191" i="1"/>
  <c r="L191" i="1"/>
  <c r="K191" i="1"/>
  <c r="J191" i="1"/>
  <c r="I191" i="1"/>
  <c r="G191" i="1"/>
  <c r="F191" i="1"/>
  <c r="B191" i="1"/>
  <c r="Q190" i="1"/>
  <c r="N190" i="1"/>
  <c r="M190" i="1"/>
  <c r="L190" i="1"/>
  <c r="K190" i="1"/>
  <c r="J190" i="1"/>
  <c r="I190" i="1"/>
  <c r="G190" i="1"/>
  <c r="F190" i="1"/>
  <c r="B190" i="1"/>
  <c r="Q189" i="1"/>
  <c r="H189" i="1" s="1"/>
  <c r="N189" i="1"/>
  <c r="M189" i="1"/>
  <c r="L189" i="1"/>
  <c r="K189" i="1"/>
  <c r="J189" i="1"/>
  <c r="I189" i="1"/>
  <c r="G189" i="1"/>
  <c r="F189" i="1"/>
  <c r="B189" i="1"/>
  <c r="Q188" i="1"/>
  <c r="H188" i="1" s="1"/>
  <c r="N188" i="1"/>
  <c r="M188" i="1"/>
  <c r="L188" i="1"/>
  <c r="K188" i="1"/>
  <c r="J188" i="1"/>
  <c r="I188" i="1"/>
  <c r="G188" i="1"/>
  <c r="F188" i="1"/>
  <c r="B188" i="1"/>
  <c r="Q187" i="1"/>
  <c r="N187" i="1"/>
  <c r="M187" i="1"/>
  <c r="L187" i="1"/>
  <c r="K187" i="1"/>
  <c r="J187" i="1"/>
  <c r="I187" i="1"/>
  <c r="G187" i="1"/>
  <c r="F187" i="1"/>
  <c r="B187" i="1"/>
  <c r="Q186" i="1"/>
  <c r="N186" i="1"/>
  <c r="M186" i="1"/>
  <c r="L186" i="1"/>
  <c r="K186" i="1"/>
  <c r="J186" i="1"/>
  <c r="I186" i="1"/>
  <c r="G186" i="1"/>
  <c r="F186" i="1"/>
  <c r="B186" i="1"/>
  <c r="Q185" i="1"/>
  <c r="H185" i="1" s="1"/>
  <c r="N185" i="1"/>
  <c r="M185" i="1"/>
  <c r="L185" i="1"/>
  <c r="K185" i="1"/>
  <c r="J185" i="1"/>
  <c r="I185" i="1"/>
  <c r="G185" i="1"/>
  <c r="F185" i="1"/>
  <c r="B185" i="1"/>
  <c r="Q184" i="1"/>
  <c r="H184" i="1" s="1"/>
  <c r="N184" i="1"/>
  <c r="M184" i="1"/>
  <c r="L184" i="1"/>
  <c r="K184" i="1"/>
  <c r="J184" i="1"/>
  <c r="I184" i="1"/>
  <c r="G184" i="1"/>
  <c r="F184" i="1"/>
  <c r="B184" i="1"/>
  <c r="Q183" i="1"/>
  <c r="N183" i="1"/>
  <c r="M183" i="1"/>
  <c r="L183" i="1"/>
  <c r="K183" i="1"/>
  <c r="J183" i="1"/>
  <c r="I183" i="1"/>
  <c r="G183" i="1"/>
  <c r="F183" i="1"/>
  <c r="B183" i="1"/>
  <c r="Q182" i="1"/>
  <c r="N182" i="1"/>
  <c r="M182" i="1"/>
  <c r="L182" i="1"/>
  <c r="K182" i="1"/>
  <c r="J182" i="1"/>
  <c r="I182" i="1"/>
  <c r="G182" i="1"/>
  <c r="F182" i="1"/>
  <c r="B182" i="1"/>
  <c r="Q181" i="1"/>
  <c r="H181" i="1" s="1"/>
  <c r="N181" i="1"/>
  <c r="M181" i="1"/>
  <c r="L181" i="1"/>
  <c r="K181" i="1"/>
  <c r="J181" i="1"/>
  <c r="I181" i="1"/>
  <c r="G181" i="1"/>
  <c r="F181" i="1"/>
  <c r="B181" i="1"/>
  <c r="Q180" i="1"/>
  <c r="H180" i="1" s="1"/>
  <c r="N180" i="1"/>
  <c r="M180" i="1"/>
  <c r="L180" i="1"/>
  <c r="K180" i="1"/>
  <c r="J180" i="1"/>
  <c r="I180" i="1"/>
  <c r="G180" i="1"/>
  <c r="F180" i="1"/>
  <c r="B180" i="1"/>
  <c r="Q179" i="1"/>
  <c r="N179" i="1"/>
  <c r="M179" i="1"/>
  <c r="L179" i="1"/>
  <c r="K179" i="1"/>
  <c r="J179" i="1"/>
  <c r="I179" i="1"/>
  <c r="G179" i="1"/>
  <c r="F179" i="1"/>
  <c r="B179" i="1"/>
  <c r="Q178" i="1"/>
  <c r="N178" i="1"/>
  <c r="M178" i="1"/>
  <c r="L178" i="1"/>
  <c r="K178" i="1"/>
  <c r="J178" i="1"/>
  <c r="I178" i="1"/>
  <c r="G178" i="1"/>
  <c r="F178" i="1"/>
  <c r="B178" i="1"/>
  <c r="Q177" i="1"/>
  <c r="H177" i="1" s="1"/>
  <c r="N177" i="1"/>
  <c r="M177" i="1"/>
  <c r="L177" i="1"/>
  <c r="K177" i="1"/>
  <c r="J177" i="1"/>
  <c r="I177" i="1"/>
  <c r="G177" i="1"/>
  <c r="F177" i="1"/>
  <c r="B177" i="1"/>
  <c r="Q176" i="1"/>
  <c r="H176" i="1" s="1"/>
  <c r="N176" i="1"/>
  <c r="M176" i="1"/>
  <c r="L176" i="1"/>
  <c r="K176" i="1"/>
  <c r="J176" i="1"/>
  <c r="I176" i="1"/>
  <c r="G176" i="1"/>
  <c r="F176" i="1"/>
  <c r="B176" i="1"/>
  <c r="Q175" i="1"/>
  <c r="N175" i="1"/>
  <c r="M175" i="1"/>
  <c r="L175" i="1"/>
  <c r="K175" i="1"/>
  <c r="J175" i="1"/>
  <c r="I175" i="1"/>
  <c r="G175" i="1"/>
  <c r="F175" i="1"/>
  <c r="B175" i="1"/>
  <c r="Q174" i="1"/>
  <c r="N174" i="1"/>
  <c r="M174" i="1"/>
  <c r="L174" i="1"/>
  <c r="K174" i="1"/>
  <c r="J174" i="1"/>
  <c r="I174" i="1"/>
  <c r="G174" i="1"/>
  <c r="F174" i="1"/>
  <c r="B174" i="1"/>
  <c r="Q173" i="1"/>
  <c r="H173" i="1" s="1"/>
  <c r="N173" i="1"/>
  <c r="M173" i="1"/>
  <c r="L173" i="1"/>
  <c r="K173" i="1"/>
  <c r="J173" i="1"/>
  <c r="I173" i="1"/>
  <c r="G173" i="1"/>
  <c r="F173" i="1"/>
  <c r="B173" i="1"/>
  <c r="Q172" i="1"/>
  <c r="H172" i="1" s="1"/>
  <c r="N172" i="1"/>
  <c r="M172" i="1"/>
  <c r="L172" i="1"/>
  <c r="K172" i="1"/>
  <c r="J172" i="1"/>
  <c r="I172" i="1"/>
  <c r="G172" i="1"/>
  <c r="F172" i="1"/>
  <c r="B172" i="1"/>
  <c r="Q171" i="1"/>
  <c r="N171" i="1"/>
  <c r="M171" i="1"/>
  <c r="L171" i="1"/>
  <c r="K171" i="1"/>
  <c r="J171" i="1"/>
  <c r="I171" i="1"/>
  <c r="G171" i="1"/>
  <c r="F171" i="1"/>
  <c r="B171" i="1"/>
  <c r="Q170" i="1"/>
  <c r="N170" i="1"/>
  <c r="M170" i="1"/>
  <c r="L170" i="1"/>
  <c r="K170" i="1"/>
  <c r="J170" i="1"/>
  <c r="I170" i="1"/>
  <c r="G170" i="1"/>
  <c r="F170" i="1"/>
  <c r="B170" i="1"/>
  <c r="Q169" i="1"/>
  <c r="H169" i="1" s="1"/>
  <c r="N169" i="1"/>
  <c r="M169" i="1"/>
  <c r="L169" i="1"/>
  <c r="K169" i="1"/>
  <c r="J169" i="1"/>
  <c r="I169" i="1"/>
  <c r="G169" i="1"/>
  <c r="F169" i="1"/>
  <c r="B169" i="1"/>
  <c r="Q168" i="1"/>
  <c r="H168" i="1" s="1"/>
  <c r="N168" i="1"/>
  <c r="M168" i="1"/>
  <c r="L168" i="1"/>
  <c r="K168" i="1"/>
  <c r="J168" i="1"/>
  <c r="I168" i="1"/>
  <c r="G168" i="1"/>
  <c r="F168" i="1"/>
  <c r="B168" i="1"/>
  <c r="A168" i="1"/>
  <c r="C168" i="1" s="1"/>
  <c r="Q167" i="1"/>
  <c r="N167" i="1"/>
  <c r="M167" i="1"/>
  <c r="L167" i="1"/>
  <c r="K167" i="1"/>
  <c r="J167" i="1"/>
  <c r="I167" i="1"/>
  <c r="G167" i="1"/>
  <c r="F167" i="1"/>
  <c r="B167" i="1"/>
  <c r="Q166" i="1"/>
  <c r="N166" i="1"/>
  <c r="M166" i="1"/>
  <c r="L166" i="1"/>
  <c r="K166" i="1"/>
  <c r="J166" i="1"/>
  <c r="I166" i="1"/>
  <c r="G166" i="1"/>
  <c r="F166" i="1"/>
  <c r="B166" i="1"/>
  <c r="Q165" i="1"/>
  <c r="H165" i="1" s="1"/>
  <c r="N165" i="1"/>
  <c r="M165" i="1"/>
  <c r="L165" i="1"/>
  <c r="K165" i="1"/>
  <c r="J165" i="1"/>
  <c r="I165" i="1"/>
  <c r="G165" i="1"/>
  <c r="F165" i="1"/>
  <c r="B165" i="1"/>
  <c r="Q164" i="1"/>
  <c r="H164" i="1" s="1"/>
  <c r="N164" i="1"/>
  <c r="M164" i="1"/>
  <c r="L164" i="1"/>
  <c r="K164" i="1"/>
  <c r="J164" i="1"/>
  <c r="I164" i="1"/>
  <c r="G164" i="1"/>
  <c r="F164" i="1"/>
  <c r="B164" i="1"/>
  <c r="Q163" i="1"/>
  <c r="N163" i="1"/>
  <c r="M163" i="1"/>
  <c r="L163" i="1"/>
  <c r="K163" i="1"/>
  <c r="J163" i="1"/>
  <c r="I163" i="1"/>
  <c r="G163" i="1"/>
  <c r="F163" i="1"/>
  <c r="B163" i="1"/>
  <c r="Q162" i="1"/>
  <c r="H162" i="1" s="1"/>
  <c r="N162" i="1"/>
  <c r="M162" i="1"/>
  <c r="L162" i="1"/>
  <c r="K162" i="1"/>
  <c r="J162" i="1"/>
  <c r="I162" i="1"/>
  <c r="G162" i="1"/>
  <c r="F162" i="1"/>
  <c r="B162" i="1"/>
  <c r="Q161" i="1"/>
  <c r="H161" i="1" s="1"/>
  <c r="N161" i="1"/>
  <c r="M161" i="1"/>
  <c r="L161" i="1"/>
  <c r="K161" i="1"/>
  <c r="J161" i="1"/>
  <c r="I161" i="1"/>
  <c r="G161" i="1"/>
  <c r="F161" i="1"/>
  <c r="B161" i="1"/>
  <c r="Q160" i="1"/>
  <c r="H160" i="1" s="1"/>
  <c r="N160" i="1"/>
  <c r="M160" i="1"/>
  <c r="L160" i="1"/>
  <c r="K160" i="1"/>
  <c r="J160" i="1"/>
  <c r="I160" i="1"/>
  <c r="G160" i="1"/>
  <c r="F160" i="1"/>
  <c r="B160" i="1"/>
  <c r="Q159" i="1"/>
  <c r="N159" i="1"/>
  <c r="M159" i="1"/>
  <c r="L159" i="1"/>
  <c r="K159" i="1"/>
  <c r="J159" i="1"/>
  <c r="I159" i="1"/>
  <c r="G159" i="1"/>
  <c r="F159" i="1"/>
  <c r="B159" i="1"/>
  <c r="Q158" i="1"/>
  <c r="H158" i="1" s="1"/>
  <c r="N158" i="1"/>
  <c r="M158" i="1"/>
  <c r="L158" i="1"/>
  <c r="K158" i="1"/>
  <c r="J158" i="1"/>
  <c r="I158" i="1"/>
  <c r="G158" i="1"/>
  <c r="F158" i="1"/>
  <c r="B158" i="1"/>
  <c r="Q157" i="1"/>
  <c r="H157" i="1" s="1"/>
  <c r="N157" i="1"/>
  <c r="M157" i="1"/>
  <c r="L157" i="1"/>
  <c r="K157" i="1"/>
  <c r="J157" i="1"/>
  <c r="I157" i="1"/>
  <c r="G157" i="1"/>
  <c r="F157" i="1"/>
  <c r="B157" i="1"/>
  <c r="Q156" i="1"/>
  <c r="H156" i="1" s="1"/>
  <c r="N156" i="1"/>
  <c r="M156" i="1"/>
  <c r="L156" i="1"/>
  <c r="K156" i="1"/>
  <c r="J156" i="1"/>
  <c r="I156" i="1"/>
  <c r="G156" i="1"/>
  <c r="F156" i="1"/>
  <c r="B156" i="1"/>
  <c r="Q155" i="1"/>
  <c r="N155" i="1"/>
  <c r="M155" i="1"/>
  <c r="L155" i="1"/>
  <c r="K155" i="1"/>
  <c r="J155" i="1"/>
  <c r="I155" i="1"/>
  <c r="G155" i="1"/>
  <c r="F155" i="1"/>
  <c r="B155" i="1"/>
  <c r="Q154" i="1"/>
  <c r="H154" i="1" s="1"/>
  <c r="N154" i="1"/>
  <c r="M154" i="1"/>
  <c r="L154" i="1"/>
  <c r="K154" i="1"/>
  <c r="J154" i="1"/>
  <c r="I154" i="1"/>
  <c r="G154" i="1"/>
  <c r="F154" i="1"/>
  <c r="B154" i="1"/>
  <c r="Q153" i="1"/>
  <c r="H153" i="1" s="1"/>
  <c r="N153" i="1"/>
  <c r="M153" i="1"/>
  <c r="L153" i="1"/>
  <c r="K153" i="1"/>
  <c r="J153" i="1"/>
  <c r="I153" i="1"/>
  <c r="G153" i="1"/>
  <c r="F153" i="1"/>
  <c r="B153" i="1"/>
  <c r="A153" i="1"/>
  <c r="C153" i="1" s="1"/>
  <c r="Q152" i="1"/>
  <c r="H152" i="1" s="1"/>
  <c r="N152" i="1"/>
  <c r="M152" i="1"/>
  <c r="L152" i="1"/>
  <c r="K152" i="1"/>
  <c r="J152" i="1"/>
  <c r="I152" i="1"/>
  <c r="G152" i="1"/>
  <c r="F152" i="1"/>
  <c r="B152" i="1"/>
  <c r="Q151" i="1"/>
  <c r="N151" i="1"/>
  <c r="M151" i="1"/>
  <c r="L151" i="1"/>
  <c r="K151" i="1"/>
  <c r="J151" i="1"/>
  <c r="I151" i="1"/>
  <c r="G151" i="1"/>
  <c r="F151" i="1"/>
  <c r="B151" i="1"/>
  <c r="Q150" i="1"/>
  <c r="H150" i="1" s="1"/>
  <c r="N150" i="1"/>
  <c r="M150" i="1"/>
  <c r="L150" i="1"/>
  <c r="K150" i="1"/>
  <c r="J150" i="1"/>
  <c r="I150" i="1"/>
  <c r="G150" i="1"/>
  <c r="F150" i="1"/>
  <c r="B150" i="1"/>
  <c r="Q149" i="1"/>
  <c r="H149" i="1" s="1"/>
  <c r="N149" i="1"/>
  <c r="M149" i="1"/>
  <c r="L149" i="1"/>
  <c r="K149" i="1"/>
  <c r="J149" i="1"/>
  <c r="I149" i="1"/>
  <c r="G149" i="1"/>
  <c r="F149" i="1"/>
  <c r="B149" i="1"/>
  <c r="Q148" i="1"/>
  <c r="H148" i="1" s="1"/>
  <c r="N148" i="1"/>
  <c r="M148" i="1"/>
  <c r="L148" i="1"/>
  <c r="K148" i="1"/>
  <c r="J148" i="1"/>
  <c r="I148" i="1"/>
  <c r="G148" i="1"/>
  <c r="F148" i="1"/>
  <c r="B148" i="1"/>
  <c r="Q147" i="1"/>
  <c r="N147" i="1"/>
  <c r="M147" i="1"/>
  <c r="L147" i="1"/>
  <c r="K147" i="1"/>
  <c r="J147" i="1"/>
  <c r="I147" i="1"/>
  <c r="G147" i="1"/>
  <c r="F147" i="1"/>
  <c r="B147" i="1"/>
  <c r="Q146" i="1"/>
  <c r="H146" i="1" s="1"/>
  <c r="N146" i="1"/>
  <c r="M146" i="1"/>
  <c r="L146" i="1"/>
  <c r="K146" i="1"/>
  <c r="J146" i="1"/>
  <c r="I146" i="1"/>
  <c r="G146" i="1"/>
  <c r="F146" i="1"/>
  <c r="B146" i="1"/>
  <c r="Q145" i="1"/>
  <c r="H145" i="1" s="1"/>
  <c r="N145" i="1"/>
  <c r="M145" i="1"/>
  <c r="L145" i="1"/>
  <c r="K145" i="1"/>
  <c r="J145" i="1"/>
  <c r="I145" i="1"/>
  <c r="G145" i="1"/>
  <c r="F145" i="1"/>
  <c r="B145" i="1"/>
  <c r="Q144" i="1"/>
  <c r="H144" i="1" s="1"/>
  <c r="N144" i="1"/>
  <c r="M144" i="1"/>
  <c r="L144" i="1"/>
  <c r="K144" i="1"/>
  <c r="J144" i="1"/>
  <c r="I144" i="1"/>
  <c r="G144" i="1"/>
  <c r="F144" i="1"/>
  <c r="B144" i="1"/>
  <c r="Q143" i="1"/>
  <c r="N143" i="1"/>
  <c r="M143" i="1"/>
  <c r="L143" i="1"/>
  <c r="K143" i="1"/>
  <c r="J143" i="1"/>
  <c r="I143" i="1"/>
  <c r="G143" i="1"/>
  <c r="F143" i="1"/>
  <c r="B143" i="1"/>
  <c r="Q142" i="1"/>
  <c r="H142" i="1" s="1"/>
  <c r="N142" i="1"/>
  <c r="M142" i="1"/>
  <c r="L142" i="1"/>
  <c r="K142" i="1"/>
  <c r="J142" i="1"/>
  <c r="I142" i="1"/>
  <c r="G142" i="1"/>
  <c r="F142" i="1"/>
  <c r="B142" i="1"/>
  <c r="Q141" i="1"/>
  <c r="H141" i="1" s="1"/>
  <c r="N141" i="1"/>
  <c r="M141" i="1"/>
  <c r="L141" i="1"/>
  <c r="K141" i="1"/>
  <c r="J141" i="1"/>
  <c r="I141" i="1"/>
  <c r="G141" i="1"/>
  <c r="F141" i="1"/>
  <c r="B141" i="1"/>
  <c r="Q140" i="1"/>
  <c r="H140" i="1" s="1"/>
  <c r="N140" i="1"/>
  <c r="M140" i="1"/>
  <c r="L140" i="1"/>
  <c r="K140" i="1"/>
  <c r="J140" i="1"/>
  <c r="I140" i="1"/>
  <c r="G140" i="1"/>
  <c r="F140" i="1"/>
  <c r="B140" i="1"/>
  <c r="Q139" i="1"/>
  <c r="N139" i="1"/>
  <c r="M139" i="1"/>
  <c r="L139" i="1"/>
  <c r="K139" i="1"/>
  <c r="J139" i="1"/>
  <c r="I139" i="1"/>
  <c r="G139" i="1"/>
  <c r="F139" i="1"/>
  <c r="B139" i="1"/>
  <c r="Q138" i="1"/>
  <c r="H138" i="1" s="1"/>
  <c r="N138" i="1"/>
  <c r="M138" i="1"/>
  <c r="L138" i="1"/>
  <c r="K138" i="1"/>
  <c r="J138" i="1"/>
  <c r="I138" i="1"/>
  <c r="G138" i="1"/>
  <c r="F138" i="1"/>
  <c r="B138" i="1"/>
  <c r="Q137" i="1"/>
  <c r="H137" i="1" s="1"/>
  <c r="N137" i="1"/>
  <c r="M137" i="1"/>
  <c r="L137" i="1"/>
  <c r="K137" i="1"/>
  <c r="J137" i="1"/>
  <c r="I137" i="1"/>
  <c r="G137" i="1"/>
  <c r="F137" i="1"/>
  <c r="B137" i="1"/>
  <c r="A137" i="1"/>
  <c r="C137" i="1" s="1"/>
  <c r="Q136" i="1"/>
  <c r="H136" i="1" s="1"/>
  <c r="N136" i="1"/>
  <c r="M136" i="1"/>
  <c r="L136" i="1"/>
  <c r="K136" i="1"/>
  <c r="J136" i="1"/>
  <c r="I136" i="1"/>
  <c r="G136" i="1"/>
  <c r="F136" i="1"/>
  <c r="B136" i="1"/>
  <c r="Q135" i="1"/>
  <c r="N135" i="1"/>
  <c r="M135" i="1"/>
  <c r="L135" i="1"/>
  <c r="K135" i="1"/>
  <c r="J135" i="1"/>
  <c r="I135" i="1"/>
  <c r="G135" i="1"/>
  <c r="F135" i="1"/>
  <c r="B135" i="1"/>
  <c r="Q134" i="1"/>
  <c r="H134" i="1" s="1"/>
  <c r="N134" i="1"/>
  <c r="M134" i="1"/>
  <c r="L134" i="1"/>
  <c r="K134" i="1"/>
  <c r="J134" i="1"/>
  <c r="I134" i="1"/>
  <c r="G134" i="1"/>
  <c r="F134" i="1"/>
  <c r="B134" i="1"/>
  <c r="A134" i="1"/>
  <c r="C134" i="1" s="1"/>
  <c r="Q133" i="1"/>
  <c r="H133" i="1" s="1"/>
  <c r="N133" i="1"/>
  <c r="M133" i="1"/>
  <c r="L133" i="1"/>
  <c r="K133" i="1"/>
  <c r="J133" i="1"/>
  <c r="I133" i="1"/>
  <c r="G133" i="1"/>
  <c r="F133" i="1"/>
  <c r="B133" i="1"/>
  <c r="Q132" i="1"/>
  <c r="H132" i="1" s="1"/>
  <c r="N132" i="1"/>
  <c r="M132" i="1"/>
  <c r="L132" i="1"/>
  <c r="K132" i="1"/>
  <c r="J132" i="1"/>
  <c r="I132" i="1"/>
  <c r="G132" i="1"/>
  <c r="F132" i="1"/>
  <c r="B132" i="1"/>
  <c r="Q131" i="1"/>
  <c r="N131" i="1"/>
  <c r="M131" i="1"/>
  <c r="L131" i="1"/>
  <c r="K131" i="1"/>
  <c r="J131" i="1"/>
  <c r="I131" i="1"/>
  <c r="G131" i="1"/>
  <c r="F131" i="1"/>
  <c r="B131" i="1"/>
  <c r="Q130" i="1"/>
  <c r="H130" i="1" s="1"/>
  <c r="N130" i="1"/>
  <c r="M130" i="1"/>
  <c r="L130" i="1"/>
  <c r="K130" i="1"/>
  <c r="J130" i="1"/>
  <c r="I130" i="1"/>
  <c r="G130" i="1"/>
  <c r="F130" i="1"/>
  <c r="B130" i="1"/>
  <c r="Q129" i="1"/>
  <c r="H129" i="1" s="1"/>
  <c r="N129" i="1"/>
  <c r="M129" i="1"/>
  <c r="L129" i="1"/>
  <c r="K129" i="1"/>
  <c r="J129" i="1"/>
  <c r="I129" i="1"/>
  <c r="G129" i="1"/>
  <c r="F129" i="1"/>
  <c r="B129" i="1"/>
  <c r="Q128" i="1"/>
  <c r="H128" i="1" s="1"/>
  <c r="N128" i="1"/>
  <c r="M128" i="1"/>
  <c r="L128" i="1"/>
  <c r="K128" i="1"/>
  <c r="J128" i="1"/>
  <c r="I128" i="1"/>
  <c r="G128" i="1"/>
  <c r="F128" i="1"/>
  <c r="B128" i="1"/>
  <c r="Q127" i="1"/>
  <c r="N127" i="1"/>
  <c r="M127" i="1"/>
  <c r="L127" i="1"/>
  <c r="K127" i="1"/>
  <c r="J127" i="1"/>
  <c r="I127" i="1"/>
  <c r="G127" i="1"/>
  <c r="F127" i="1"/>
  <c r="B127" i="1"/>
  <c r="Q126" i="1"/>
  <c r="H126" i="1" s="1"/>
  <c r="N126" i="1"/>
  <c r="M126" i="1"/>
  <c r="L126" i="1"/>
  <c r="K126" i="1"/>
  <c r="J126" i="1"/>
  <c r="I126" i="1"/>
  <c r="G126" i="1"/>
  <c r="F126" i="1"/>
  <c r="B126" i="1"/>
  <c r="Q125" i="1"/>
  <c r="H125" i="1" s="1"/>
  <c r="N125" i="1"/>
  <c r="M125" i="1"/>
  <c r="L125" i="1"/>
  <c r="K125" i="1"/>
  <c r="J125" i="1"/>
  <c r="I125" i="1"/>
  <c r="G125" i="1"/>
  <c r="F125" i="1"/>
  <c r="B125" i="1"/>
  <c r="Q124" i="1"/>
  <c r="H124" i="1" s="1"/>
  <c r="N124" i="1"/>
  <c r="M124" i="1"/>
  <c r="L124" i="1"/>
  <c r="K124" i="1"/>
  <c r="J124" i="1"/>
  <c r="I124" i="1"/>
  <c r="G124" i="1"/>
  <c r="F124" i="1"/>
  <c r="B124" i="1"/>
  <c r="Q123" i="1"/>
  <c r="N123" i="1"/>
  <c r="M123" i="1"/>
  <c r="L123" i="1"/>
  <c r="K123" i="1"/>
  <c r="J123" i="1"/>
  <c r="I123" i="1"/>
  <c r="G123" i="1"/>
  <c r="F123" i="1"/>
  <c r="B123" i="1"/>
  <c r="Q122" i="1"/>
  <c r="H122" i="1" s="1"/>
  <c r="N122" i="1"/>
  <c r="M122" i="1"/>
  <c r="L122" i="1"/>
  <c r="K122" i="1"/>
  <c r="J122" i="1"/>
  <c r="I122" i="1"/>
  <c r="G122" i="1"/>
  <c r="F122" i="1"/>
  <c r="B122" i="1"/>
  <c r="Q121" i="1"/>
  <c r="H121" i="1" s="1"/>
  <c r="N121" i="1"/>
  <c r="M121" i="1"/>
  <c r="L121" i="1"/>
  <c r="K121" i="1"/>
  <c r="J121" i="1"/>
  <c r="I121" i="1"/>
  <c r="G121" i="1"/>
  <c r="F121" i="1"/>
  <c r="B121" i="1"/>
  <c r="A121" i="1"/>
  <c r="C121" i="1" s="1"/>
  <c r="Q120" i="1"/>
  <c r="H120" i="1" s="1"/>
  <c r="N120" i="1"/>
  <c r="M120" i="1"/>
  <c r="L120" i="1"/>
  <c r="K120" i="1"/>
  <c r="J120" i="1"/>
  <c r="I120" i="1"/>
  <c r="G120" i="1"/>
  <c r="F120" i="1"/>
  <c r="B120" i="1"/>
  <c r="Q119" i="1"/>
  <c r="H119" i="1" s="1"/>
  <c r="N119" i="1"/>
  <c r="M119" i="1"/>
  <c r="L119" i="1"/>
  <c r="K119" i="1"/>
  <c r="J119" i="1"/>
  <c r="I119" i="1"/>
  <c r="G119" i="1"/>
  <c r="F119" i="1"/>
  <c r="B119" i="1"/>
  <c r="Q118" i="1"/>
  <c r="H118" i="1" s="1"/>
  <c r="N118" i="1"/>
  <c r="M118" i="1"/>
  <c r="L118" i="1"/>
  <c r="K118" i="1"/>
  <c r="J118" i="1"/>
  <c r="I118" i="1"/>
  <c r="G118" i="1"/>
  <c r="F118" i="1"/>
  <c r="B118" i="1"/>
  <c r="Q117" i="1"/>
  <c r="H117" i="1" s="1"/>
  <c r="N117" i="1"/>
  <c r="M117" i="1"/>
  <c r="L117" i="1"/>
  <c r="K117" i="1"/>
  <c r="J117" i="1"/>
  <c r="I117" i="1"/>
  <c r="G117" i="1"/>
  <c r="F117" i="1"/>
  <c r="B117" i="1"/>
  <c r="Q116" i="1"/>
  <c r="H116" i="1" s="1"/>
  <c r="N116" i="1"/>
  <c r="M116" i="1"/>
  <c r="L116" i="1"/>
  <c r="K116" i="1"/>
  <c r="J116" i="1"/>
  <c r="I116" i="1"/>
  <c r="G116" i="1"/>
  <c r="F116" i="1"/>
  <c r="B116" i="1"/>
  <c r="Q115" i="1"/>
  <c r="H115" i="1" s="1"/>
  <c r="N115" i="1"/>
  <c r="M115" i="1"/>
  <c r="L115" i="1"/>
  <c r="K115" i="1"/>
  <c r="J115" i="1"/>
  <c r="I115" i="1"/>
  <c r="G115" i="1"/>
  <c r="F115" i="1"/>
  <c r="B115" i="1"/>
  <c r="Q114" i="1"/>
  <c r="H114" i="1" s="1"/>
  <c r="N114" i="1"/>
  <c r="M114" i="1"/>
  <c r="L114" i="1"/>
  <c r="K114" i="1"/>
  <c r="J114" i="1"/>
  <c r="I114" i="1"/>
  <c r="G114" i="1"/>
  <c r="F114" i="1"/>
  <c r="B114" i="1"/>
  <c r="Q113" i="1"/>
  <c r="H113" i="1" s="1"/>
  <c r="N113" i="1"/>
  <c r="M113" i="1"/>
  <c r="L113" i="1"/>
  <c r="K113" i="1"/>
  <c r="J113" i="1"/>
  <c r="I113" i="1"/>
  <c r="G113" i="1"/>
  <c r="F113" i="1"/>
  <c r="B113" i="1"/>
  <c r="Q112" i="1"/>
  <c r="H112" i="1" s="1"/>
  <c r="N112" i="1"/>
  <c r="M112" i="1"/>
  <c r="L112" i="1"/>
  <c r="K112" i="1"/>
  <c r="J112" i="1"/>
  <c r="I112" i="1"/>
  <c r="G112" i="1"/>
  <c r="F112" i="1"/>
  <c r="B112" i="1"/>
  <c r="Q111" i="1"/>
  <c r="H111" i="1" s="1"/>
  <c r="N111" i="1"/>
  <c r="M111" i="1"/>
  <c r="L111" i="1"/>
  <c r="K111" i="1"/>
  <c r="J111" i="1"/>
  <c r="I111" i="1"/>
  <c r="G111" i="1"/>
  <c r="F111" i="1"/>
  <c r="B111" i="1"/>
  <c r="Q110" i="1"/>
  <c r="H110" i="1" s="1"/>
  <c r="N110" i="1"/>
  <c r="M110" i="1"/>
  <c r="L110" i="1"/>
  <c r="K110" i="1"/>
  <c r="J110" i="1"/>
  <c r="I110" i="1"/>
  <c r="G110" i="1"/>
  <c r="F110" i="1"/>
  <c r="B110" i="1"/>
  <c r="Q109" i="1"/>
  <c r="H109" i="1" s="1"/>
  <c r="N109" i="1"/>
  <c r="M109" i="1"/>
  <c r="L109" i="1"/>
  <c r="K109" i="1"/>
  <c r="J109" i="1"/>
  <c r="I109" i="1"/>
  <c r="G109" i="1"/>
  <c r="F109" i="1"/>
  <c r="B109" i="1"/>
  <c r="Q108" i="1"/>
  <c r="H108" i="1" s="1"/>
  <c r="N108" i="1"/>
  <c r="M108" i="1"/>
  <c r="L108" i="1"/>
  <c r="K108" i="1"/>
  <c r="J108" i="1"/>
  <c r="I108" i="1"/>
  <c r="G108" i="1"/>
  <c r="F108" i="1"/>
  <c r="B108" i="1"/>
  <c r="Q107" i="1"/>
  <c r="H107" i="1" s="1"/>
  <c r="N107" i="1"/>
  <c r="M107" i="1"/>
  <c r="L107" i="1"/>
  <c r="K107" i="1"/>
  <c r="J107" i="1"/>
  <c r="I107" i="1"/>
  <c r="G107" i="1"/>
  <c r="F107" i="1"/>
  <c r="B107" i="1"/>
  <c r="Q106" i="1"/>
  <c r="H106" i="1" s="1"/>
  <c r="N106" i="1"/>
  <c r="M106" i="1"/>
  <c r="L106" i="1"/>
  <c r="K106" i="1"/>
  <c r="J106" i="1"/>
  <c r="I106" i="1"/>
  <c r="G106" i="1"/>
  <c r="F106" i="1"/>
  <c r="B106" i="1"/>
  <c r="Q105" i="1"/>
  <c r="H105" i="1" s="1"/>
  <c r="N105" i="1"/>
  <c r="M105" i="1"/>
  <c r="L105" i="1"/>
  <c r="K105" i="1"/>
  <c r="J105" i="1"/>
  <c r="I105" i="1"/>
  <c r="G105" i="1"/>
  <c r="F105" i="1"/>
  <c r="B105" i="1"/>
  <c r="A105" i="1"/>
  <c r="C105" i="1" s="1"/>
  <c r="Q104" i="1"/>
  <c r="H104" i="1" s="1"/>
  <c r="N104" i="1"/>
  <c r="M104" i="1"/>
  <c r="L104" i="1"/>
  <c r="K104" i="1"/>
  <c r="J104" i="1"/>
  <c r="I104" i="1"/>
  <c r="G104" i="1"/>
  <c r="F104" i="1"/>
  <c r="B104" i="1"/>
  <c r="Q103" i="1"/>
  <c r="H103" i="1" s="1"/>
  <c r="N103" i="1"/>
  <c r="M103" i="1"/>
  <c r="L103" i="1"/>
  <c r="K103" i="1"/>
  <c r="J103" i="1"/>
  <c r="I103" i="1"/>
  <c r="G103" i="1"/>
  <c r="F103" i="1"/>
  <c r="B103" i="1"/>
  <c r="Q102" i="1"/>
  <c r="H102" i="1" s="1"/>
  <c r="N102" i="1"/>
  <c r="M102" i="1"/>
  <c r="L102" i="1"/>
  <c r="K102" i="1"/>
  <c r="J102" i="1"/>
  <c r="I102" i="1"/>
  <c r="G102" i="1"/>
  <c r="F102" i="1"/>
  <c r="B102" i="1"/>
  <c r="Q101" i="1"/>
  <c r="H101" i="1" s="1"/>
  <c r="N101" i="1"/>
  <c r="M101" i="1"/>
  <c r="L101" i="1"/>
  <c r="K101" i="1"/>
  <c r="J101" i="1"/>
  <c r="I101" i="1"/>
  <c r="G101" i="1"/>
  <c r="F101" i="1"/>
  <c r="B101" i="1"/>
  <c r="Q100" i="1"/>
  <c r="H100" i="1" s="1"/>
  <c r="N100" i="1"/>
  <c r="M100" i="1"/>
  <c r="L100" i="1"/>
  <c r="K100" i="1"/>
  <c r="J100" i="1"/>
  <c r="I100" i="1"/>
  <c r="G100" i="1"/>
  <c r="F100" i="1"/>
  <c r="B100" i="1"/>
  <c r="Q99" i="1"/>
  <c r="H99" i="1" s="1"/>
  <c r="N99" i="1"/>
  <c r="M99" i="1"/>
  <c r="L99" i="1"/>
  <c r="K99" i="1"/>
  <c r="J99" i="1"/>
  <c r="I99" i="1"/>
  <c r="G99" i="1"/>
  <c r="F99" i="1"/>
  <c r="B99" i="1"/>
  <c r="Q98" i="1"/>
  <c r="H98" i="1" s="1"/>
  <c r="N98" i="1"/>
  <c r="M98" i="1"/>
  <c r="L98" i="1"/>
  <c r="K98" i="1"/>
  <c r="J98" i="1"/>
  <c r="I98" i="1"/>
  <c r="G98" i="1"/>
  <c r="F98" i="1"/>
  <c r="B98" i="1"/>
  <c r="Q97" i="1"/>
  <c r="H97" i="1" s="1"/>
  <c r="N97" i="1"/>
  <c r="M97" i="1"/>
  <c r="L97" i="1"/>
  <c r="K97" i="1"/>
  <c r="J97" i="1"/>
  <c r="I97" i="1"/>
  <c r="G97" i="1"/>
  <c r="F97" i="1"/>
  <c r="B97" i="1"/>
  <c r="Q96" i="1"/>
  <c r="H96" i="1" s="1"/>
  <c r="N96" i="1"/>
  <c r="M96" i="1"/>
  <c r="L96" i="1"/>
  <c r="K96" i="1"/>
  <c r="J96" i="1"/>
  <c r="I96" i="1"/>
  <c r="G96" i="1"/>
  <c r="F96" i="1"/>
  <c r="B96" i="1"/>
  <c r="A96" i="1"/>
  <c r="C96" i="1" s="1"/>
  <c r="Q95" i="1"/>
  <c r="H95" i="1" s="1"/>
  <c r="N95" i="1"/>
  <c r="M95" i="1"/>
  <c r="L95" i="1"/>
  <c r="K95" i="1"/>
  <c r="J95" i="1"/>
  <c r="I95" i="1"/>
  <c r="G95" i="1"/>
  <c r="F95" i="1"/>
  <c r="B95" i="1"/>
  <c r="Q94" i="1"/>
  <c r="H94" i="1" s="1"/>
  <c r="N94" i="1"/>
  <c r="M94" i="1"/>
  <c r="L94" i="1"/>
  <c r="K94" i="1"/>
  <c r="J94" i="1"/>
  <c r="I94" i="1"/>
  <c r="G94" i="1"/>
  <c r="F94" i="1"/>
  <c r="B94" i="1"/>
  <c r="Q93" i="1"/>
  <c r="H93" i="1" s="1"/>
  <c r="N93" i="1"/>
  <c r="M93" i="1"/>
  <c r="L93" i="1"/>
  <c r="K93" i="1"/>
  <c r="J93" i="1"/>
  <c r="I93" i="1"/>
  <c r="G93" i="1"/>
  <c r="F93" i="1"/>
  <c r="B93" i="1"/>
  <c r="Q92" i="1"/>
  <c r="H92" i="1" s="1"/>
  <c r="N92" i="1"/>
  <c r="M92" i="1"/>
  <c r="L92" i="1"/>
  <c r="K92" i="1"/>
  <c r="J92" i="1"/>
  <c r="I92" i="1"/>
  <c r="G92" i="1"/>
  <c r="F92" i="1"/>
  <c r="B92" i="1"/>
  <c r="Q91" i="1"/>
  <c r="H91" i="1" s="1"/>
  <c r="N91" i="1"/>
  <c r="M91" i="1"/>
  <c r="L91" i="1"/>
  <c r="K91" i="1"/>
  <c r="J91" i="1"/>
  <c r="I91" i="1"/>
  <c r="G91" i="1"/>
  <c r="F91" i="1"/>
  <c r="B91" i="1"/>
  <c r="Q90" i="1"/>
  <c r="H90" i="1" s="1"/>
  <c r="N90" i="1"/>
  <c r="M90" i="1"/>
  <c r="L90" i="1"/>
  <c r="K90" i="1"/>
  <c r="J90" i="1"/>
  <c r="I90" i="1"/>
  <c r="G90" i="1"/>
  <c r="F90" i="1"/>
  <c r="B90" i="1"/>
  <c r="Q89" i="1"/>
  <c r="H89" i="1" s="1"/>
  <c r="N89" i="1"/>
  <c r="M89" i="1"/>
  <c r="L89" i="1"/>
  <c r="K89" i="1"/>
  <c r="J89" i="1"/>
  <c r="I89" i="1"/>
  <c r="G89" i="1"/>
  <c r="F89" i="1"/>
  <c r="B89" i="1"/>
  <c r="A89" i="1"/>
  <c r="Q88" i="1"/>
  <c r="H88" i="1" s="1"/>
  <c r="N88" i="1"/>
  <c r="M88" i="1"/>
  <c r="L88" i="1"/>
  <c r="K88" i="1"/>
  <c r="J88" i="1"/>
  <c r="I88" i="1"/>
  <c r="G88" i="1"/>
  <c r="F88" i="1"/>
  <c r="B88" i="1"/>
  <c r="Q87" i="1"/>
  <c r="H87" i="1" s="1"/>
  <c r="N87" i="1"/>
  <c r="M87" i="1"/>
  <c r="L87" i="1"/>
  <c r="K87" i="1"/>
  <c r="J87" i="1"/>
  <c r="I87" i="1"/>
  <c r="G87" i="1"/>
  <c r="F87" i="1"/>
  <c r="B87" i="1"/>
  <c r="Q86" i="1"/>
  <c r="H86" i="1" s="1"/>
  <c r="N86" i="1"/>
  <c r="M86" i="1"/>
  <c r="L86" i="1"/>
  <c r="K86" i="1"/>
  <c r="J86" i="1"/>
  <c r="I86" i="1"/>
  <c r="G86" i="1"/>
  <c r="F86" i="1"/>
  <c r="B86" i="1"/>
  <c r="Q85" i="1"/>
  <c r="H85" i="1" s="1"/>
  <c r="N85" i="1"/>
  <c r="M85" i="1"/>
  <c r="L85" i="1"/>
  <c r="K85" i="1"/>
  <c r="J85" i="1"/>
  <c r="I85" i="1"/>
  <c r="G85" i="1"/>
  <c r="F85" i="1"/>
  <c r="B85" i="1"/>
  <c r="Q84" i="1"/>
  <c r="H84" i="1" s="1"/>
  <c r="N84" i="1"/>
  <c r="M84" i="1"/>
  <c r="L84" i="1"/>
  <c r="K84" i="1"/>
  <c r="J84" i="1"/>
  <c r="I84" i="1"/>
  <c r="G84" i="1"/>
  <c r="F84" i="1"/>
  <c r="B84" i="1"/>
  <c r="Q83" i="1"/>
  <c r="H83" i="1" s="1"/>
  <c r="N83" i="1"/>
  <c r="M83" i="1"/>
  <c r="L83" i="1"/>
  <c r="K83" i="1"/>
  <c r="J83" i="1"/>
  <c r="I83" i="1"/>
  <c r="G83" i="1"/>
  <c r="F83" i="1"/>
  <c r="B83" i="1"/>
  <c r="Q82" i="1"/>
  <c r="H82" i="1" s="1"/>
  <c r="N82" i="1"/>
  <c r="M82" i="1"/>
  <c r="L82" i="1"/>
  <c r="K82" i="1"/>
  <c r="J82" i="1"/>
  <c r="I82" i="1"/>
  <c r="G82" i="1"/>
  <c r="F82" i="1"/>
  <c r="B82" i="1"/>
  <c r="Q81" i="1"/>
  <c r="H81" i="1" s="1"/>
  <c r="N81" i="1"/>
  <c r="M81" i="1"/>
  <c r="L81" i="1"/>
  <c r="K81" i="1"/>
  <c r="J81" i="1"/>
  <c r="I81" i="1"/>
  <c r="G81" i="1"/>
  <c r="F81" i="1"/>
  <c r="B81" i="1"/>
  <c r="Q80" i="1"/>
  <c r="H80" i="1" s="1"/>
  <c r="N80" i="1"/>
  <c r="M80" i="1"/>
  <c r="L80" i="1"/>
  <c r="K80" i="1"/>
  <c r="J80" i="1"/>
  <c r="I80" i="1"/>
  <c r="G80" i="1"/>
  <c r="F80" i="1"/>
  <c r="B80" i="1"/>
  <c r="Q79" i="1"/>
  <c r="H79" i="1" s="1"/>
  <c r="N79" i="1"/>
  <c r="M79" i="1"/>
  <c r="L79" i="1"/>
  <c r="K79" i="1"/>
  <c r="J79" i="1"/>
  <c r="I79" i="1"/>
  <c r="G79" i="1"/>
  <c r="F79" i="1"/>
  <c r="B79" i="1"/>
  <c r="Q78" i="1"/>
  <c r="H78" i="1" s="1"/>
  <c r="N78" i="1"/>
  <c r="M78" i="1"/>
  <c r="L78" i="1"/>
  <c r="K78" i="1"/>
  <c r="J78" i="1"/>
  <c r="I78" i="1"/>
  <c r="G78" i="1"/>
  <c r="F78" i="1"/>
  <c r="B78" i="1"/>
  <c r="Q77" i="1"/>
  <c r="H77" i="1" s="1"/>
  <c r="N77" i="1"/>
  <c r="M77" i="1"/>
  <c r="L77" i="1"/>
  <c r="K77" i="1"/>
  <c r="J77" i="1"/>
  <c r="I77" i="1"/>
  <c r="G77" i="1"/>
  <c r="F77" i="1"/>
  <c r="B77" i="1"/>
  <c r="Q76" i="1"/>
  <c r="H76" i="1" s="1"/>
  <c r="N76" i="1"/>
  <c r="M76" i="1"/>
  <c r="L76" i="1"/>
  <c r="K76" i="1"/>
  <c r="J76" i="1"/>
  <c r="I76" i="1"/>
  <c r="G76" i="1"/>
  <c r="F76" i="1"/>
  <c r="B76" i="1"/>
  <c r="Q75" i="1"/>
  <c r="H75" i="1" s="1"/>
  <c r="N75" i="1"/>
  <c r="M75" i="1"/>
  <c r="L75" i="1"/>
  <c r="K75" i="1"/>
  <c r="J75" i="1"/>
  <c r="I75" i="1"/>
  <c r="G75" i="1"/>
  <c r="F75" i="1"/>
  <c r="B75" i="1"/>
  <c r="Q74" i="1"/>
  <c r="H74" i="1" s="1"/>
  <c r="N74" i="1"/>
  <c r="M74" i="1"/>
  <c r="L74" i="1"/>
  <c r="K74" i="1"/>
  <c r="J74" i="1"/>
  <c r="I74" i="1"/>
  <c r="G74" i="1"/>
  <c r="F74" i="1"/>
  <c r="B74" i="1"/>
  <c r="Q73" i="1"/>
  <c r="H73" i="1" s="1"/>
  <c r="N73" i="1"/>
  <c r="M73" i="1"/>
  <c r="L73" i="1"/>
  <c r="K73" i="1"/>
  <c r="J73" i="1"/>
  <c r="I73" i="1"/>
  <c r="G73" i="1"/>
  <c r="F73" i="1"/>
  <c r="B73" i="1"/>
  <c r="A73" i="1"/>
  <c r="C73" i="1" s="1"/>
  <c r="Q72" i="1"/>
  <c r="H72" i="1" s="1"/>
  <c r="N72" i="1"/>
  <c r="M72" i="1"/>
  <c r="L72" i="1"/>
  <c r="K72" i="1"/>
  <c r="J72" i="1"/>
  <c r="I72" i="1"/>
  <c r="G72" i="1"/>
  <c r="F72" i="1"/>
  <c r="B72" i="1"/>
  <c r="Q71" i="1"/>
  <c r="H71" i="1" s="1"/>
  <c r="N71" i="1"/>
  <c r="M71" i="1"/>
  <c r="L71" i="1"/>
  <c r="K71" i="1"/>
  <c r="J71" i="1"/>
  <c r="I71" i="1"/>
  <c r="G71" i="1"/>
  <c r="F71" i="1"/>
  <c r="B71" i="1"/>
  <c r="Q70" i="1"/>
  <c r="H70" i="1" s="1"/>
  <c r="N70" i="1"/>
  <c r="M70" i="1"/>
  <c r="L70" i="1"/>
  <c r="K70" i="1"/>
  <c r="J70" i="1"/>
  <c r="I70" i="1"/>
  <c r="G70" i="1"/>
  <c r="F70" i="1"/>
  <c r="B70" i="1"/>
  <c r="Q69" i="1"/>
  <c r="H69" i="1" s="1"/>
  <c r="N69" i="1"/>
  <c r="M69" i="1"/>
  <c r="L69" i="1"/>
  <c r="K69" i="1"/>
  <c r="J69" i="1"/>
  <c r="I69" i="1"/>
  <c r="G69" i="1"/>
  <c r="F69" i="1"/>
  <c r="B69" i="1"/>
  <c r="Q68" i="1"/>
  <c r="H68" i="1" s="1"/>
  <c r="N68" i="1"/>
  <c r="M68" i="1"/>
  <c r="L68" i="1"/>
  <c r="K68" i="1"/>
  <c r="J68" i="1"/>
  <c r="I68" i="1"/>
  <c r="G68" i="1"/>
  <c r="F68" i="1"/>
  <c r="B68" i="1"/>
  <c r="Q67" i="1"/>
  <c r="H67" i="1" s="1"/>
  <c r="N67" i="1"/>
  <c r="M67" i="1"/>
  <c r="L67" i="1"/>
  <c r="K67" i="1"/>
  <c r="J67" i="1"/>
  <c r="I67" i="1"/>
  <c r="G67" i="1"/>
  <c r="F67" i="1"/>
  <c r="B67" i="1"/>
  <c r="Q66" i="1"/>
  <c r="H66" i="1" s="1"/>
  <c r="N66" i="1"/>
  <c r="M66" i="1"/>
  <c r="L66" i="1"/>
  <c r="K66" i="1"/>
  <c r="J66" i="1"/>
  <c r="I66" i="1"/>
  <c r="G66" i="1"/>
  <c r="F66" i="1"/>
  <c r="B66" i="1"/>
  <c r="Q65" i="1"/>
  <c r="H65" i="1" s="1"/>
  <c r="N65" i="1"/>
  <c r="M65" i="1"/>
  <c r="L65" i="1"/>
  <c r="K65" i="1"/>
  <c r="J65" i="1"/>
  <c r="I65" i="1"/>
  <c r="G65" i="1"/>
  <c r="F65" i="1"/>
  <c r="B65" i="1"/>
  <c r="Q64" i="1"/>
  <c r="H64" i="1" s="1"/>
  <c r="N64" i="1"/>
  <c r="M64" i="1"/>
  <c r="L64" i="1"/>
  <c r="K64" i="1"/>
  <c r="J64" i="1"/>
  <c r="I64" i="1"/>
  <c r="G64" i="1"/>
  <c r="F64" i="1"/>
  <c r="B64" i="1"/>
  <c r="A64" i="1"/>
  <c r="C64" i="1" s="1"/>
  <c r="Q63" i="1"/>
  <c r="H63" i="1" s="1"/>
  <c r="N63" i="1"/>
  <c r="M63" i="1"/>
  <c r="L63" i="1"/>
  <c r="K63" i="1"/>
  <c r="J63" i="1"/>
  <c r="I63" i="1"/>
  <c r="G63" i="1"/>
  <c r="F63" i="1"/>
  <c r="B63" i="1"/>
  <c r="Q62" i="1"/>
  <c r="H62" i="1" s="1"/>
  <c r="N62" i="1"/>
  <c r="M62" i="1"/>
  <c r="L62" i="1"/>
  <c r="K62" i="1"/>
  <c r="J62" i="1"/>
  <c r="I62" i="1"/>
  <c r="G62" i="1"/>
  <c r="F62" i="1"/>
  <c r="B62" i="1"/>
  <c r="Q61" i="1"/>
  <c r="H61" i="1" s="1"/>
  <c r="N61" i="1"/>
  <c r="M61" i="1"/>
  <c r="L61" i="1"/>
  <c r="K61" i="1"/>
  <c r="J61" i="1"/>
  <c r="I61" i="1"/>
  <c r="G61" i="1"/>
  <c r="F61" i="1"/>
  <c r="B61" i="1"/>
  <c r="Q60" i="1"/>
  <c r="H60" i="1" s="1"/>
  <c r="N60" i="1"/>
  <c r="M60" i="1"/>
  <c r="L60" i="1"/>
  <c r="K60" i="1"/>
  <c r="J60" i="1"/>
  <c r="I60" i="1"/>
  <c r="G60" i="1"/>
  <c r="F60" i="1"/>
  <c r="B60" i="1"/>
  <c r="Q59" i="1"/>
  <c r="H59" i="1" s="1"/>
  <c r="N59" i="1"/>
  <c r="M59" i="1"/>
  <c r="L59" i="1"/>
  <c r="K59" i="1"/>
  <c r="J59" i="1"/>
  <c r="I59" i="1"/>
  <c r="G59" i="1"/>
  <c r="F59" i="1"/>
  <c r="B59" i="1"/>
  <c r="Q58" i="1"/>
  <c r="H58" i="1" s="1"/>
  <c r="N58" i="1"/>
  <c r="M58" i="1"/>
  <c r="L58" i="1"/>
  <c r="K58" i="1"/>
  <c r="J58" i="1"/>
  <c r="I58" i="1"/>
  <c r="G58" i="1"/>
  <c r="F58" i="1"/>
  <c r="B58" i="1"/>
  <c r="Q57" i="1"/>
  <c r="H57" i="1" s="1"/>
  <c r="N57" i="1"/>
  <c r="M57" i="1"/>
  <c r="L57" i="1"/>
  <c r="K57" i="1"/>
  <c r="J57" i="1"/>
  <c r="I57" i="1"/>
  <c r="G57" i="1"/>
  <c r="F57" i="1"/>
  <c r="B57" i="1"/>
  <c r="A57" i="1"/>
  <c r="C57" i="1" s="1"/>
  <c r="Q56" i="1"/>
  <c r="H56" i="1" s="1"/>
  <c r="N56" i="1"/>
  <c r="M56" i="1"/>
  <c r="L56" i="1"/>
  <c r="K56" i="1"/>
  <c r="J56" i="1"/>
  <c r="I56" i="1"/>
  <c r="G56" i="1"/>
  <c r="F56" i="1"/>
  <c r="B56" i="1"/>
  <c r="Q55" i="1"/>
  <c r="H55" i="1" s="1"/>
  <c r="N55" i="1"/>
  <c r="M55" i="1"/>
  <c r="L55" i="1"/>
  <c r="K55" i="1"/>
  <c r="J55" i="1"/>
  <c r="I55" i="1"/>
  <c r="G55" i="1"/>
  <c r="F55" i="1"/>
  <c r="B55" i="1"/>
  <c r="Q54" i="1"/>
  <c r="H54" i="1" s="1"/>
  <c r="N54" i="1"/>
  <c r="M54" i="1"/>
  <c r="L54" i="1"/>
  <c r="K54" i="1"/>
  <c r="J54" i="1"/>
  <c r="I54" i="1"/>
  <c r="G54" i="1"/>
  <c r="F54" i="1"/>
  <c r="B54" i="1"/>
  <c r="Q53" i="1"/>
  <c r="H53" i="1" s="1"/>
  <c r="N53" i="1"/>
  <c r="M53" i="1"/>
  <c r="L53" i="1"/>
  <c r="K53" i="1"/>
  <c r="J53" i="1"/>
  <c r="I53" i="1"/>
  <c r="G53" i="1"/>
  <c r="F53" i="1"/>
  <c r="B53" i="1"/>
  <c r="Q52" i="1"/>
  <c r="H52" i="1" s="1"/>
  <c r="N52" i="1"/>
  <c r="M52" i="1"/>
  <c r="L52" i="1"/>
  <c r="K52" i="1"/>
  <c r="J52" i="1"/>
  <c r="I52" i="1"/>
  <c r="G52" i="1"/>
  <c r="F52" i="1"/>
  <c r="B52" i="1"/>
  <c r="Q51" i="1"/>
  <c r="H51" i="1" s="1"/>
  <c r="N51" i="1"/>
  <c r="M51" i="1"/>
  <c r="L51" i="1"/>
  <c r="K51" i="1"/>
  <c r="J51" i="1"/>
  <c r="I51" i="1"/>
  <c r="G51" i="1"/>
  <c r="F51" i="1"/>
  <c r="B51" i="1"/>
  <c r="Q50" i="1"/>
  <c r="H50" i="1" s="1"/>
  <c r="N50" i="1"/>
  <c r="M50" i="1"/>
  <c r="L50" i="1"/>
  <c r="K50" i="1"/>
  <c r="J50" i="1"/>
  <c r="I50" i="1"/>
  <c r="G50" i="1"/>
  <c r="F50" i="1"/>
  <c r="B50" i="1"/>
  <c r="Q49" i="1"/>
  <c r="H49" i="1" s="1"/>
  <c r="N49" i="1"/>
  <c r="M49" i="1"/>
  <c r="L49" i="1"/>
  <c r="K49" i="1"/>
  <c r="J49" i="1"/>
  <c r="I49" i="1"/>
  <c r="G49" i="1"/>
  <c r="F49" i="1"/>
  <c r="B49" i="1"/>
  <c r="Q48" i="1"/>
  <c r="H48" i="1" s="1"/>
  <c r="N48" i="1"/>
  <c r="M48" i="1"/>
  <c r="L48" i="1"/>
  <c r="K48" i="1"/>
  <c r="J48" i="1"/>
  <c r="I48" i="1"/>
  <c r="G48" i="1"/>
  <c r="F48" i="1"/>
  <c r="B48" i="1"/>
  <c r="Q47" i="1"/>
  <c r="H47" i="1" s="1"/>
  <c r="N47" i="1"/>
  <c r="M47" i="1"/>
  <c r="L47" i="1"/>
  <c r="K47" i="1"/>
  <c r="J47" i="1"/>
  <c r="I47" i="1"/>
  <c r="G47" i="1"/>
  <c r="F47" i="1"/>
  <c r="B47" i="1"/>
  <c r="Q46" i="1"/>
  <c r="H46" i="1" s="1"/>
  <c r="N46" i="1"/>
  <c r="M46" i="1"/>
  <c r="L46" i="1"/>
  <c r="K46" i="1"/>
  <c r="J46" i="1"/>
  <c r="I46" i="1"/>
  <c r="G46" i="1"/>
  <c r="F46" i="1"/>
  <c r="B46" i="1"/>
  <c r="Q45" i="1"/>
  <c r="H45" i="1" s="1"/>
  <c r="N45" i="1"/>
  <c r="M45" i="1"/>
  <c r="L45" i="1"/>
  <c r="K45" i="1"/>
  <c r="J45" i="1"/>
  <c r="I45" i="1"/>
  <c r="G45" i="1"/>
  <c r="F45" i="1"/>
  <c r="B45" i="1"/>
  <c r="Q44" i="1"/>
  <c r="H44" i="1" s="1"/>
  <c r="N44" i="1"/>
  <c r="M44" i="1"/>
  <c r="L44" i="1"/>
  <c r="K44" i="1"/>
  <c r="J44" i="1"/>
  <c r="I44" i="1"/>
  <c r="G44" i="1"/>
  <c r="F44" i="1"/>
  <c r="B44" i="1"/>
  <c r="Q43" i="1"/>
  <c r="H43" i="1" s="1"/>
  <c r="N43" i="1"/>
  <c r="M43" i="1"/>
  <c r="L43" i="1"/>
  <c r="K43" i="1"/>
  <c r="J43" i="1"/>
  <c r="I43" i="1"/>
  <c r="G43" i="1"/>
  <c r="F43" i="1"/>
  <c r="B43" i="1"/>
  <c r="Q42" i="1"/>
  <c r="H42" i="1" s="1"/>
  <c r="N42" i="1"/>
  <c r="M42" i="1"/>
  <c r="L42" i="1"/>
  <c r="K42" i="1"/>
  <c r="J42" i="1"/>
  <c r="I42" i="1"/>
  <c r="G42" i="1"/>
  <c r="F42" i="1"/>
  <c r="B42" i="1"/>
  <c r="Q41" i="1"/>
  <c r="H41" i="1" s="1"/>
  <c r="N41" i="1"/>
  <c r="M41" i="1"/>
  <c r="L41" i="1"/>
  <c r="K41" i="1"/>
  <c r="J41" i="1"/>
  <c r="I41" i="1"/>
  <c r="G41" i="1"/>
  <c r="F41" i="1"/>
  <c r="B41" i="1"/>
  <c r="Q40" i="1"/>
  <c r="H40" i="1" s="1"/>
  <c r="N40" i="1"/>
  <c r="M40" i="1"/>
  <c r="L40" i="1"/>
  <c r="K40" i="1"/>
  <c r="J40" i="1"/>
  <c r="I40" i="1"/>
  <c r="G40" i="1"/>
  <c r="F40" i="1"/>
  <c r="B40" i="1"/>
  <c r="Q39" i="1"/>
  <c r="H39" i="1" s="1"/>
  <c r="N39" i="1"/>
  <c r="M39" i="1"/>
  <c r="L39" i="1"/>
  <c r="K39" i="1"/>
  <c r="J39" i="1"/>
  <c r="I39" i="1"/>
  <c r="G39" i="1"/>
  <c r="F39" i="1"/>
  <c r="B39" i="1"/>
  <c r="Q38" i="1"/>
  <c r="H38" i="1" s="1"/>
  <c r="N38" i="1"/>
  <c r="M38" i="1"/>
  <c r="L38" i="1"/>
  <c r="K38" i="1"/>
  <c r="J38" i="1"/>
  <c r="I38" i="1"/>
  <c r="G38" i="1"/>
  <c r="F38" i="1"/>
  <c r="B38" i="1"/>
  <c r="Q37" i="1"/>
  <c r="H37" i="1" s="1"/>
  <c r="N37" i="1"/>
  <c r="M37" i="1"/>
  <c r="L37" i="1"/>
  <c r="K37" i="1"/>
  <c r="J37" i="1"/>
  <c r="I37" i="1"/>
  <c r="G37" i="1"/>
  <c r="F37" i="1"/>
  <c r="B37" i="1"/>
  <c r="Q36" i="1"/>
  <c r="H36" i="1" s="1"/>
  <c r="N36" i="1"/>
  <c r="M36" i="1"/>
  <c r="L36" i="1"/>
  <c r="K36" i="1"/>
  <c r="J36" i="1"/>
  <c r="I36" i="1"/>
  <c r="G36" i="1"/>
  <c r="F36" i="1"/>
  <c r="B36" i="1"/>
  <c r="Q35" i="1"/>
  <c r="H35" i="1" s="1"/>
  <c r="N35" i="1"/>
  <c r="M35" i="1"/>
  <c r="L35" i="1"/>
  <c r="K35" i="1"/>
  <c r="J35" i="1"/>
  <c r="I35" i="1"/>
  <c r="G35" i="1"/>
  <c r="F35" i="1"/>
  <c r="B35" i="1"/>
  <c r="Q34" i="1"/>
  <c r="H34" i="1" s="1"/>
  <c r="N34" i="1"/>
  <c r="M34" i="1"/>
  <c r="L34" i="1"/>
  <c r="K34" i="1"/>
  <c r="J34" i="1"/>
  <c r="I34" i="1"/>
  <c r="G34" i="1"/>
  <c r="F34" i="1"/>
  <c r="B34" i="1"/>
  <c r="Q33" i="1"/>
  <c r="H33" i="1" s="1"/>
  <c r="N33" i="1"/>
  <c r="M33" i="1"/>
  <c r="L33" i="1"/>
  <c r="K33" i="1"/>
  <c r="J33" i="1"/>
  <c r="I33" i="1"/>
  <c r="G33" i="1"/>
  <c r="F33" i="1"/>
  <c r="B33" i="1"/>
  <c r="Q32" i="1"/>
  <c r="H32" i="1" s="1"/>
  <c r="N32" i="1"/>
  <c r="M32" i="1"/>
  <c r="L32" i="1"/>
  <c r="K32" i="1"/>
  <c r="J32" i="1"/>
  <c r="I32" i="1"/>
  <c r="G32" i="1"/>
  <c r="F32" i="1"/>
  <c r="B32" i="1"/>
  <c r="A32" i="1"/>
  <c r="C32" i="1" s="1"/>
  <c r="Q31" i="1"/>
  <c r="H31" i="1" s="1"/>
  <c r="N31" i="1"/>
  <c r="M31" i="1"/>
  <c r="L31" i="1"/>
  <c r="K31" i="1"/>
  <c r="J31" i="1"/>
  <c r="I31" i="1"/>
  <c r="G31" i="1"/>
  <c r="F31" i="1"/>
  <c r="B31" i="1"/>
  <c r="Q30" i="1"/>
  <c r="H30" i="1" s="1"/>
  <c r="N30" i="1"/>
  <c r="M30" i="1"/>
  <c r="L30" i="1"/>
  <c r="K30" i="1"/>
  <c r="J30" i="1"/>
  <c r="I30" i="1"/>
  <c r="G30" i="1"/>
  <c r="F30" i="1"/>
  <c r="B30" i="1"/>
  <c r="Q29" i="1"/>
  <c r="H29" i="1" s="1"/>
  <c r="N29" i="1"/>
  <c r="M29" i="1"/>
  <c r="L29" i="1"/>
  <c r="K29" i="1"/>
  <c r="J29" i="1"/>
  <c r="I29" i="1"/>
  <c r="G29" i="1"/>
  <c r="F29" i="1"/>
  <c r="B29" i="1"/>
  <c r="Q28" i="1"/>
  <c r="H28" i="1" s="1"/>
  <c r="N28" i="1"/>
  <c r="M28" i="1"/>
  <c r="L28" i="1"/>
  <c r="K28" i="1"/>
  <c r="J28" i="1"/>
  <c r="I28" i="1"/>
  <c r="G28" i="1"/>
  <c r="F28" i="1"/>
  <c r="B28" i="1"/>
  <c r="Q27" i="1"/>
  <c r="H27" i="1" s="1"/>
  <c r="N27" i="1"/>
  <c r="M27" i="1"/>
  <c r="L27" i="1"/>
  <c r="K27" i="1"/>
  <c r="J27" i="1"/>
  <c r="I27" i="1"/>
  <c r="G27" i="1"/>
  <c r="F27" i="1"/>
  <c r="B27" i="1"/>
  <c r="Q26" i="1"/>
  <c r="H26" i="1" s="1"/>
  <c r="N26" i="1"/>
  <c r="M26" i="1"/>
  <c r="L26" i="1"/>
  <c r="K26" i="1"/>
  <c r="J26" i="1"/>
  <c r="I26" i="1"/>
  <c r="G26" i="1"/>
  <c r="F26" i="1"/>
  <c r="B26" i="1"/>
  <c r="Q25" i="1"/>
  <c r="H25" i="1" s="1"/>
  <c r="N25" i="1"/>
  <c r="M25" i="1"/>
  <c r="L25" i="1"/>
  <c r="K25" i="1"/>
  <c r="J25" i="1"/>
  <c r="I25" i="1"/>
  <c r="G25" i="1"/>
  <c r="F25" i="1"/>
  <c r="B25" i="1"/>
  <c r="Q24" i="1"/>
  <c r="H24" i="1" s="1"/>
  <c r="N24" i="1"/>
  <c r="M24" i="1"/>
  <c r="L24" i="1"/>
  <c r="K24" i="1"/>
  <c r="J24" i="1"/>
  <c r="I24" i="1"/>
  <c r="G24" i="1"/>
  <c r="F24" i="1"/>
  <c r="B24" i="1"/>
  <c r="Q23" i="1"/>
  <c r="H23" i="1" s="1"/>
  <c r="N23" i="1"/>
  <c r="M23" i="1"/>
  <c r="L23" i="1"/>
  <c r="K23" i="1"/>
  <c r="J23" i="1"/>
  <c r="I23" i="1"/>
  <c r="G23" i="1"/>
  <c r="F23" i="1"/>
  <c r="B23" i="1"/>
  <c r="Q22" i="1"/>
  <c r="H22" i="1" s="1"/>
  <c r="N22" i="1"/>
  <c r="M22" i="1"/>
  <c r="L22" i="1"/>
  <c r="K22" i="1"/>
  <c r="J22" i="1"/>
  <c r="I22" i="1"/>
  <c r="G22" i="1"/>
  <c r="F22" i="1"/>
  <c r="B22" i="1"/>
  <c r="Q21" i="1"/>
  <c r="H21" i="1" s="1"/>
  <c r="N21" i="1"/>
  <c r="M21" i="1"/>
  <c r="L21" i="1"/>
  <c r="K21" i="1"/>
  <c r="J21" i="1"/>
  <c r="I21" i="1"/>
  <c r="G21" i="1"/>
  <c r="F21" i="1"/>
  <c r="B21" i="1"/>
  <c r="Q20" i="1"/>
  <c r="H20" i="1" s="1"/>
  <c r="N20" i="1"/>
  <c r="M20" i="1"/>
  <c r="L20" i="1"/>
  <c r="K20" i="1"/>
  <c r="J20" i="1"/>
  <c r="I20" i="1"/>
  <c r="G20" i="1"/>
  <c r="F20" i="1"/>
  <c r="B20" i="1"/>
  <c r="Q19" i="1"/>
  <c r="H19" i="1" s="1"/>
  <c r="N19" i="1"/>
  <c r="M19" i="1"/>
  <c r="L19" i="1"/>
  <c r="K19" i="1"/>
  <c r="J19" i="1"/>
  <c r="I19" i="1"/>
  <c r="G19" i="1"/>
  <c r="F19" i="1"/>
  <c r="B19" i="1"/>
  <c r="Q18" i="1"/>
  <c r="H18" i="1" s="1"/>
  <c r="N18" i="1"/>
  <c r="M18" i="1"/>
  <c r="L18" i="1"/>
  <c r="K18" i="1"/>
  <c r="J18" i="1"/>
  <c r="I18" i="1"/>
  <c r="G18" i="1"/>
  <c r="F18" i="1"/>
  <c r="B18" i="1"/>
  <c r="Q17" i="1"/>
  <c r="H17" i="1" s="1"/>
  <c r="N17" i="1"/>
  <c r="M17" i="1"/>
  <c r="L17" i="1"/>
  <c r="K17" i="1"/>
  <c r="J17" i="1"/>
  <c r="I17" i="1"/>
  <c r="G17" i="1"/>
  <c r="F17" i="1"/>
  <c r="B17" i="1"/>
  <c r="Q16" i="1"/>
  <c r="H16" i="1" s="1"/>
  <c r="N16" i="1"/>
  <c r="M16" i="1"/>
  <c r="L16" i="1"/>
  <c r="K16" i="1"/>
  <c r="J16" i="1"/>
  <c r="I16" i="1"/>
  <c r="G16" i="1"/>
  <c r="F16" i="1"/>
  <c r="B16" i="1"/>
  <c r="Q15" i="1"/>
  <c r="H15" i="1" s="1"/>
  <c r="N15" i="1"/>
  <c r="M15" i="1"/>
  <c r="L15" i="1"/>
  <c r="K15" i="1"/>
  <c r="J15" i="1"/>
  <c r="I15" i="1"/>
  <c r="G15" i="1"/>
  <c r="F15" i="1"/>
  <c r="B15" i="1"/>
  <c r="Q14" i="1"/>
  <c r="H14" i="1" s="1"/>
  <c r="N14" i="1"/>
  <c r="M14" i="1"/>
  <c r="L14" i="1"/>
  <c r="K14" i="1"/>
  <c r="J14" i="1"/>
  <c r="I14" i="1"/>
  <c r="G14" i="1"/>
  <c r="F14" i="1"/>
  <c r="B14" i="1"/>
  <c r="Q13" i="1"/>
  <c r="H13" i="1" s="1"/>
  <c r="N13" i="1"/>
  <c r="M13" i="1"/>
  <c r="L13" i="1"/>
  <c r="K13" i="1"/>
  <c r="J13" i="1"/>
  <c r="I13" i="1"/>
  <c r="G13" i="1"/>
  <c r="F13" i="1"/>
  <c r="B13" i="1"/>
  <c r="Q12" i="1"/>
  <c r="H12" i="1" s="1"/>
  <c r="N12" i="1"/>
  <c r="M12" i="1"/>
  <c r="L12" i="1"/>
  <c r="K12" i="1"/>
  <c r="J12" i="1"/>
  <c r="I12" i="1"/>
  <c r="G12" i="1"/>
  <c r="F12" i="1"/>
  <c r="B12" i="1"/>
  <c r="Q11" i="1"/>
  <c r="H11" i="1" s="1"/>
  <c r="N11" i="1"/>
  <c r="M11" i="1"/>
  <c r="L11" i="1"/>
  <c r="K11" i="1"/>
  <c r="J11" i="1"/>
  <c r="I11" i="1"/>
  <c r="G11" i="1"/>
  <c r="F11" i="1"/>
  <c r="B11" i="1"/>
  <c r="Q10" i="1"/>
  <c r="H10" i="1" s="1"/>
  <c r="N10" i="1"/>
  <c r="M10" i="1"/>
  <c r="L10" i="1"/>
  <c r="K10" i="1"/>
  <c r="J10" i="1"/>
  <c r="I10" i="1"/>
  <c r="G10" i="1"/>
  <c r="F10" i="1"/>
  <c r="B10" i="1"/>
  <c r="Q9" i="1"/>
  <c r="H9" i="1" s="1"/>
  <c r="N9" i="1"/>
  <c r="M9" i="1"/>
  <c r="L9" i="1"/>
  <c r="K9" i="1"/>
  <c r="J9" i="1"/>
  <c r="I9" i="1"/>
  <c r="G9" i="1"/>
  <c r="F9" i="1"/>
  <c r="B9" i="1"/>
  <c r="A9" i="1"/>
  <c r="C9" i="1" s="1"/>
  <c r="Q8" i="1"/>
  <c r="H8" i="1" s="1"/>
  <c r="N8" i="1"/>
  <c r="M8" i="1"/>
  <c r="L8" i="1"/>
  <c r="K8" i="1"/>
  <c r="J8" i="1"/>
  <c r="I8" i="1"/>
  <c r="G8" i="1"/>
  <c r="F8" i="1"/>
  <c r="B8" i="1"/>
  <c r="Q7" i="1"/>
  <c r="H7" i="1" s="1"/>
  <c r="N7" i="1"/>
  <c r="M7" i="1"/>
  <c r="L7" i="1"/>
  <c r="K7" i="1"/>
  <c r="J7" i="1"/>
  <c r="I7" i="1"/>
  <c r="G7" i="1"/>
  <c r="F7" i="1"/>
  <c r="B7" i="1"/>
  <c r="Q6" i="1"/>
  <c r="H6" i="1" s="1"/>
  <c r="N6" i="1"/>
  <c r="M6" i="1"/>
  <c r="L6" i="1"/>
  <c r="K6" i="1"/>
  <c r="J6" i="1"/>
  <c r="I6" i="1"/>
  <c r="G6" i="1"/>
  <c r="F6" i="1"/>
  <c r="B6" i="1"/>
  <c r="Q5" i="1"/>
  <c r="H5" i="1" s="1"/>
  <c r="N5" i="1"/>
  <c r="M5" i="1"/>
  <c r="L5" i="1"/>
  <c r="K5" i="1"/>
  <c r="J5" i="1"/>
  <c r="I5" i="1"/>
  <c r="G5" i="1"/>
  <c r="F5" i="1"/>
  <c r="B5" i="1"/>
  <c r="Q4" i="1"/>
  <c r="H4" i="1" s="1"/>
  <c r="N4" i="1"/>
  <c r="M4" i="1"/>
  <c r="L4" i="1"/>
  <c r="K4" i="1"/>
  <c r="J4" i="1"/>
  <c r="I4" i="1"/>
  <c r="G4" i="1"/>
  <c r="F4" i="1"/>
  <c r="B4" i="1"/>
  <c r="Q3" i="1"/>
  <c r="H3" i="1" s="1"/>
  <c r="N3" i="1"/>
  <c r="M3" i="1"/>
  <c r="L3" i="1"/>
  <c r="K3" i="1"/>
  <c r="J3" i="1"/>
  <c r="I3" i="1"/>
  <c r="G3" i="1"/>
  <c r="F3" i="1"/>
  <c r="B3" i="1"/>
  <c r="Q2" i="1"/>
  <c r="H2" i="1" s="1"/>
  <c r="N2" i="1"/>
  <c r="M2" i="1"/>
  <c r="L2" i="1"/>
  <c r="K2" i="1"/>
  <c r="J2" i="1"/>
  <c r="I2" i="1"/>
  <c r="G2" i="1"/>
  <c r="F2" i="1"/>
  <c r="B2" i="1"/>
  <c r="A25" i="1" l="1"/>
  <c r="C25" i="1" s="1"/>
  <c r="A48" i="1"/>
  <c r="C48" i="1" s="1"/>
  <c r="A80" i="1"/>
  <c r="C80" i="1" s="1"/>
  <c r="A112" i="1"/>
  <c r="C112" i="1" s="1"/>
  <c r="A150" i="1"/>
  <c r="A184" i="1"/>
  <c r="C184" i="1" s="1"/>
  <c r="A216" i="1"/>
  <c r="C216" i="1" s="1"/>
  <c r="A248" i="1"/>
  <c r="C248" i="1" s="1"/>
  <c r="A280" i="1"/>
  <c r="C280" i="1" s="1"/>
  <c r="A312" i="1"/>
  <c r="C312" i="1" s="1"/>
  <c r="A344" i="1"/>
  <c r="C344" i="1" s="1"/>
  <c r="A376" i="1"/>
  <c r="C376" i="1" s="1"/>
  <c r="A408" i="1"/>
  <c r="C408" i="1" s="1"/>
  <c r="A440" i="1"/>
  <c r="C440" i="1" s="1"/>
  <c r="A472" i="1"/>
  <c r="C472" i="1" s="1"/>
  <c r="A504" i="1"/>
  <c r="C504" i="1" s="1"/>
  <c r="A529" i="1"/>
  <c r="C529" i="1" s="1"/>
  <c r="A552" i="1"/>
  <c r="C552" i="1" s="1"/>
  <c r="A624" i="1"/>
  <c r="C624" i="1" s="1"/>
  <c r="A641" i="1"/>
  <c r="A177" i="1"/>
  <c r="A209" i="1"/>
  <c r="C209" i="1" s="1"/>
  <c r="A241" i="1"/>
  <c r="C241" i="1" s="1"/>
  <c r="A273" i="1"/>
  <c r="C273" i="1" s="1"/>
  <c r="A305" i="1"/>
  <c r="C305" i="1" s="1"/>
  <c r="A337" i="1"/>
  <c r="C337" i="1" s="1"/>
  <c r="A369" i="1"/>
  <c r="C369" i="1" s="1"/>
  <c r="A401" i="1"/>
  <c r="C401" i="1" s="1"/>
  <c r="A433" i="1"/>
  <c r="A465" i="1"/>
  <c r="C465" i="1" s="1"/>
  <c r="A497" i="1"/>
  <c r="C497" i="1" s="1"/>
  <c r="A513" i="1"/>
  <c r="C513" i="1" s="1"/>
  <c r="A545" i="1"/>
  <c r="C545" i="1" s="1"/>
  <c r="A577" i="1"/>
  <c r="C577" i="1" s="1"/>
  <c r="A616" i="1"/>
  <c r="C616" i="1" s="1"/>
  <c r="A625" i="1"/>
  <c r="A640" i="1"/>
  <c r="A16" i="1"/>
  <c r="C16" i="1" s="1"/>
  <c r="A41" i="1"/>
  <c r="C41" i="1" s="1"/>
  <c r="A24" i="1"/>
  <c r="C24" i="1" s="1"/>
  <c r="A40" i="1"/>
  <c r="C40" i="1" s="1"/>
  <c r="A56" i="1"/>
  <c r="C56" i="1" s="1"/>
  <c r="A72" i="1"/>
  <c r="C72" i="1" s="1"/>
  <c r="A88" i="1"/>
  <c r="C88" i="1" s="1"/>
  <c r="A104" i="1"/>
  <c r="C104" i="1" s="1"/>
  <c r="A120" i="1"/>
  <c r="C120" i="1" s="1"/>
  <c r="A133" i="1"/>
  <c r="C133" i="1" s="1"/>
  <c r="A136" i="1"/>
  <c r="C136" i="1" s="1"/>
  <c r="A149" i="1"/>
  <c r="C149" i="1" s="1"/>
  <c r="A152" i="1"/>
  <c r="C152" i="1" s="1"/>
  <c r="A176" i="1"/>
  <c r="C176" i="1" s="1"/>
  <c r="A192" i="1"/>
  <c r="C192" i="1" s="1"/>
  <c r="A208" i="1"/>
  <c r="C208" i="1" s="1"/>
  <c r="A224" i="1"/>
  <c r="A240" i="1"/>
  <c r="C240" i="1" s="1"/>
  <c r="A256" i="1"/>
  <c r="C256" i="1" s="1"/>
  <c r="A272" i="1"/>
  <c r="C272" i="1" s="1"/>
  <c r="A288" i="1"/>
  <c r="C288" i="1" s="1"/>
  <c r="A304" i="1"/>
  <c r="C304" i="1" s="1"/>
  <c r="A320" i="1"/>
  <c r="C320" i="1" s="1"/>
  <c r="A336" i="1"/>
  <c r="C336" i="1" s="1"/>
  <c r="A352" i="1"/>
  <c r="C352" i="1" s="1"/>
  <c r="A368" i="1"/>
  <c r="C368" i="1" s="1"/>
  <c r="A384" i="1"/>
  <c r="C384" i="1" s="1"/>
  <c r="A400" i="1"/>
  <c r="A416" i="1"/>
  <c r="C416" i="1" s="1"/>
  <c r="A432" i="1"/>
  <c r="C432" i="1" s="1"/>
  <c r="A448" i="1"/>
  <c r="C448" i="1" s="1"/>
  <c r="A464" i="1"/>
  <c r="A480" i="1"/>
  <c r="C480" i="1" s="1"/>
  <c r="A496" i="1"/>
  <c r="C496" i="1" s="1"/>
  <c r="A512" i="1"/>
  <c r="C512" i="1" s="1"/>
  <c r="A528" i="1"/>
  <c r="C528" i="1" s="1"/>
  <c r="A544" i="1"/>
  <c r="A560" i="1"/>
  <c r="C560" i="1" s="1"/>
  <c r="A576" i="1"/>
  <c r="C576" i="1" s="1"/>
  <c r="A592" i="1"/>
  <c r="C592" i="1" s="1"/>
  <c r="A8" i="1"/>
  <c r="A17" i="1"/>
  <c r="C17" i="1" s="1"/>
  <c r="A33" i="1"/>
  <c r="C33" i="1" s="1"/>
  <c r="A49" i="1"/>
  <c r="C49" i="1" s="1"/>
  <c r="A65" i="1"/>
  <c r="C65" i="1" s="1"/>
  <c r="A81" i="1"/>
  <c r="C81" i="1" s="1"/>
  <c r="A97" i="1"/>
  <c r="C97" i="1" s="1"/>
  <c r="A113" i="1"/>
  <c r="C113" i="1" s="1"/>
  <c r="A169" i="1"/>
  <c r="C169" i="1" s="1"/>
  <c r="A185" i="1"/>
  <c r="C185" i="1" s="1"/>
  <c r="A201" i="1"/>
  <c r="C201" i="1" s="1"/>
  <c r="A217" i="1"/>
  <c r="C217" i="1" s="1"/>
  <c r="A233" i="1"/>
  <c r="A249" i="1"/>
  <c r="C249" i="1" s="1"/>
  <c r="A265" i="1"/>
  <c r="C265" i="1" s="1"/>
  <c r="A281" i="1"/>
  <c r="C281" i="1" s="1"/>
  <c r="A297" i="1"/>
  <c r="C297" i="1" s="1"/>
  <c r="A313" i="1"/>
  <c r="A329" i="1"/>
  <c r="C329" i="1" s="1"/>
  <c r="A345" i="1"/>
  <c r="C345" i="1" s="1"/>
  <c r="A361" i="1"/>
  <c r="C361" i="1" s="1"/>
  <c r="A377" i="1"/>
  <c r="C377" i="1" s="1"/>
  <c r="A393" i="1"/>
  <c r="C393" i="1" s="1"/>
  <c r="A409" i="1"/>
  <c r="C409" i="1" s="1"/>
  <c r="A425" i="1"/>
  <c r="C425" i="1" s="1"/>
  <c r="A441" i="1"/>
  <c r="A457" i="1"/>
  <c r="C457" i="1" s="1"/>
  <c r="A473" i="1"/>
  <c r="A489" i="1"/>
  <c r="C489" i="1" s="1"/>
  <c r="A505" i="1"/>
  <c r="C505" i="1" s="1"/>
  <c r="A521" i="1"/>
  <c r="A537" i="1"/>
  <c r="C537" i="1" s="1"/>
  <c r="A553" i="1"/>
  <c r="C553" i="1" s="1"/>
  <c r="A569" i="1"/>
  <c r="C569" i="1" s="1"/>
  <c r="A585" i="1"/>
  <c r="A601" i="1"/>
  <c r="C601" i="1" s="1"/>
  <c r="A617" i="1"/>
  <c r="C617" i="1" s="1"/>
  <c r="A633" i="1"/>
  <c r="C633" i="1" s="1"/>
  <c r="A5" i="1"/>
  <c r="C5" i="1" s="1"/>
  <c r="A13" i="1"/>
  <c r="C13" i="1" s="1"/>
  <c r="A21" i="1"/>
  <c r="C21" i="1" s="1"/>
  <c r="A29" i="1"/>
  <c r="C29" i="1" s="1"/>
  <c r="A37" i="1"/>
  <c r="C37" i="1" s="1"/>
  <c r="A45" i="1"/>
  <c r="C45" i="1" s="1"/>
  <c r="A53" i="1"/>
  <c r="C53" i="1" s="1"/>
  <c r="A61" i="1"/>
  <c r="C61" i="1" s="1"/>
  <c r="A69" i="1"/>
  <c r="C69" i="1" s="1"/>
  <c r="A77" i="1"/>
  <c r="C77" i="1" s="1"/>
  <c r="A85" i="1"/>
  <c r="C85" i="1" s="1"/>
  <c r="A93" i="1"/>
  <c r="C93" i="1" s="1"/>
  <c r="A101" i="1"/>
  <c r="C101" i="1" s="1"/>
  <c r="A109" i="1"/>
  <c r="C109" i="1" s="1"/>
  <c r="A117" i="1"/>
  <c r="C117" i="1" s="1"/>
  <c r="A125" i="1"/>
  <c r="C125" i="1" s="1"/>
  <c r="A130" i="1"/>
  <c r="C130" i="1" s="1"/>
  <c r="A141" i="1"/>
  <c r="C141" i="1" s="1"/>
  <c r="A146" i="1"/>
  <c r="C146" i="1" s="1"/>
  <c r="A157" i="1"/>
  <c r="C157" i="1" s="1"/>
  <c r="A162" i="1"/>
  <c r="C162" i="1" s="1"/>
  <c r="A165" i="1"/>
  <c r="C165" i="1" s="1"/>
  <c r="A173" i="1"/>
  <c r="C173" i="1" s="1"/>
  <c r="A181" i="1"/>
  <c r="C181" i="1" s="1"/>
  <c r="A189" i="1"/>
  <c r="C189" i="1" s="1"/>
  <c r="A197" i="1"/>
  <c r="C197" i="1" s="1"/>
  <c r="A205" i="1"/>
  <c r="C205" i="1" s="1"/>
  <c r="A213" i="1"/>
  <c r="C213" i="1" s="1"/>
  <c r="A221" i="1"/>
  <c r="C221" i="1" s="1"/>
  <c r="A229" i="1"/>
  <c r="C229" i="1" s="1"/>
  <c r="A237" i="1"/>
  <c r="C237" i="1" s="1"/>
  <c r="A245" i="1"/>
  <c r="C245" i="1" s="1"/>
  <c r="A253" i="1"/>
  <c r="C253" i="1" s="1"/>
  <c r="A261" i="1"/>
  <c r="C261" i="1" s="1"/>
  <c r="A269" i="1"/>
  <c r="C269" i="1" s="1"/>
  <c r="A277" i="1"/>
  <c r="C277" i="1" s="1"/>
  <c r="A285" i="1"/>
  <c r="C285" i="1" s="1"/>
  <c r="A293" i="1"/>
  <c r="C293" i="1" s="1"/>
  <c r="A301" i="1"/>
  <c r="C301" i="1" s="1"/>
  <c r="A309" i="1"/>
  <c r="C309" i="1" s="1"/>
  <c r="A317" i="1"/>
  <c r="C317" i="1" s="1"/>
  <c r="A325" i="1"/>
  <c r="C325" i="1" s="1"/>
  <c r="A333" i="1"/>
  <c r="C333" i="1" s="1"/>
  <c r="A341" i="1"/>
  <c r="C341" i="1" s="1"/>
  <c r="A349" i="1"/>
  <c r="C349" i="1" s="1"/>
  <c r="A357" i="1"/>
  <c r="C357" i="1" s="1"/>
  <c r="A365" i="1"/>
  <c r="C365" i="1" s="1"/>
  <c r="A373" i="1"/>
  <c r="C373" i="1" s="1"/>
  <c r="A381" i="1"/>
  <c r="C381" i="1" s="1"/>
  <c r="A389" i="1"/>
  <c r="C389" i="1" s="1"/>
  <c r="A397" i="1"/>
  <c r="A405" i="1"/>
  <c r="C405" i="1" s="1"/>
  <c r="A413" i="1"/>
  <c r="C413" i="1" s="1"/>
  <c r="A421" i="1"/>
  <c r="C421" i="1" s="1"/>
  <c r="A429" i="1"/>
  <c r="C429" i="1" s="1"/>
  <c r="A437" i="1"/>
  <c r="C437" i="1" s="1"/>
  <c r="A445" i="1"/>
  <c r="C445" i="1" s="1"/>
  <c r="A453" i="1"/>
  <c r="C453" i="1" s="1"/>
  <c r="A461" i="1"/>
  <c r="C461" i="1" s="1"/>
  <c r="A469" i="1"/>
  <c r="C469" i="1" s="1"/>
  <c r="A477" i="1"/>
  <c r="C477" i="1" s="1"/>
  <c r="A485" i="1"/>
  <c r="C485" i="1" s="1"/>
  <c r="A493" i="1"/>
  <c r="A501" i="1"/>
  <c r="C501" i="1" s="1"/>
  <c r="A509" i="1"/>
  <c r="C509" i="1" s="1"/>
  <c r="A517" i="1"/>
  <c r="C517" i="1" s="1"/>
  <c r="A525" i="1"/>
  <c r="C525" i="1" s="1"/>
  <c r="A533" i="1"/>
  <c r="C533" i="1" s="1"/>
  <c r="A541" i="1"/>
  <c r="C541" i="1" s="1"/>
  <c r="A549" i="1"/>
  <c r="C549" i="1" s="1"/>
  <c r="A557" i="1"/>
  <c r="C557" i="1" s="1"/>
  <c r="A565" i="1"/>
  <c r="C565" i="1" s="1"/>
  <c r="A573" i="1"/>
  <c r="C573" i="1" s="1"/>
  <c r="A581" i="1"/>
  <c r="C581" i="1" s="1"/>
  <c r="A589" i="1"/>
  <c r="C589" i="1" s="1"/>
  <c r="A597" i="1"/>
  <c r="C597" i="1" s="1"/>
  <c r="A605" i="1"/>
  <c r="C605" i="1" s="1"/>
  <c r="A613" i="1"/>
  <c r="C613" i="1" s="1"/>
  <c r="A621" i="1"/>
  <c r="C621" i="1" s="1"/>
  <c r="A629" i="1"/>
  <c r="C629" i="1" s="1"/>
  <c r="A637" i="1"/>
  <c r="C637" i="1" s="1"/>
  <c r="A4" i="1"/>
  <c r="C4" i="1" s="1"/>
  <c r="A12" i="1"/>
  <c r="C12" i="1" s="1"/>
  <c r="A20" i="1"/>
  <c r="C20" i="1" s="1"/>
  <c r="A28" i="1"/>
  <c r="C28" i="1" s="1"/>
  <c r="A36" i="1"/>
  <c r="C36" i="1" s="1"/>
  <c r="A44" i="1"/>
  <c r="C44" i="1" s="1"/>
  <c r="A52" i="1"/>
  <c r="C52" i="1" s="1"/>
  <c r="A60" i="1"/>
  <c r="C60" i="1" s="1"/>
  <c r="A68" i="1"/>
  <c r="A76" i="1"/>
  <c r="C76" i="1" s="1"/>
  <c r="A84" i="1"/>
  <c r="C84" i="1" s="1"/>
  <c r="A92" i="1"/>
  <c r="C92" i="1" s="1"/>
  <c r="A100" i="1"/>
  <c r="C100" i="1" s="1"/>
  <c r="A108" i="1"/>
  <c r="C108" i="1" s="1"/>
  <c r="A116" i="1"/>
  <c r="C116" i="1" s="1"/>
  <c r="A124" i="1"/>
  <c r="C124" i="1" s="1"/>
  <c r="A129" i="1"/>
  <c r="C129" i="1" s="1"/>
  <c r="A140" i="1"/>
  <c r="C140" i="1" s="1"/>
  <c r="A145" i="1"/>
  <c r="C145" i="1" s="1"/>
  <c r="A156" i="1"/>
  <c r="C156" i="1" s="1"/>
  <c r="A161" i="1"/>
  <c r="C161" i="1" s="1"/>
  <c r="A164" i="1"/>
  <c r="C164" i="1" s="1"/>
  <c r="A172" i="1"/>
  <c r="C172" i="1" s="1"/>
  <c r="A180" i="1"/>
  <c r="C180" i="1" s="1"/>
  <c r="A188" i="1"/>
  <c r="C188" i="1" s="1"/>
  <c r="A196" i="1"/>
  <c r="C196" i="1" s="1"/>
  <c r="A204" i="1"/>
  <c r="C204" i="1" s="1"/>
  <c r="A212" i="1"/>
  <c r="C212" i="1" s="1"/>
  <c r="A220" i="1"/>
  <c r="C220" i="1" s="1"/>
  <c r="A228" i="1"/>
  <c r="C228" i="1" s="1"/>
  <c r="A236" i="1"/>
  <c r="C236" i="1" s="1"/>
  <c r="A244" i="1"/>
  <c r="C244" i="1" s="1"/>
  <c r="A252" i="1"/>
  <c r="C252" i="1" s="1"/>
  <c r="A260" i="1"/>
  <c r="C260" i="1" s="1"/>
  <c r="A268" i="1"/>
  <c r="C268" i="1" s="1"/>
  <c r="A276" i="1"/>
  <c r="C276" i="1" s="1"/>
  <c r="A284" i="1"/>
  <c r="A292" i="1"/>
  <c r="C292" i="1" s="1"/>
  <c r="A300" i="1"/>
  <c r="C300" i="1" s="1"/>
  <c r="A308" i="1"/>
  <c r="C308" i="1" s="1"/>
  <c r="A316" i="1"/>
  <c r="C316" i="1" s="1"/>
  <c r="A324" i="1"/>
  <c r="C324" i="1" s="1"/>
  <c r="A332" i="1"/>
  <c r="C332" i="1" s="1"/>
  <c r="A340" i="1"/>
  <c r="C340" i="1" s="1"/>
  <c r="A348" i="1"/>
  <c r="C348" i="1" s="1"/>
  <c r="A356" i="1"/>
  <c r="C356" i="1" s="1"/>
  <c r="A364" i="1"/>
  <c r="C364" i="1" s="1"/>
  <c r="A372" i="1"/>
  <c r="C372" i="1" s="1"/>
  <c r="A380" i="1"/>
  <c r="C380" i="1" s="1"/>
  <c r="A388" i="1"/>
  <c r="A396" i="1"/>
  <c r="C396" i="1" s="1"/>
  <c r="A404" i="1"/>
  <c r="C404" i="1" s="1"/>
  <c r="A412" i="1"/>
  <c r="C412" i="1" s="1"/>
  <c r="A420" i="1"/>
  <c r="C420" i="1" s="1"/>
  <c r="A428" i="1"/>
  <c r="C428" i="1" s="1"/>
  <c r="A436" i="1"/>
  <c r="C436" i="1" s="1"/>
  <c r="A444" i="1"/>
  <c r="C444" i="1" s="1"/>
  <c r="A452" i="1"/>
  <c r="C452" i="1" s="1"/>
  <c r="A460" i="1"/>
  <c r="C460" i="1" s="1"/>
  <c r="A468" i="1"/>
  <c r="C468" i="1" s="1"/>
  <c r="A476" i="1"/>
  <c r="C476" i="1" s="1"/>
  <c r="A484" i="1"/>
  <c r="C484" i="1" s="1"/>
  <c r="A492" i="1"/>
  <c r="C492" i="1" s="1"/>
  <c r="A500" i="1"/>
  <c r="C500" i="1" s="1"/>
  <c r="A508" i="1"/>
  <c r="C508" i="1" s="1"/>
  <c r="A516" i="1"/>
  <c r="C516" i="1" s="1"/>
  <c r="A524" i="1"/>
  <c r="C524" i="1" s="1"/>
  <c r="A532" i="1"/>
  <c r="C532" i="1" s="1"/>
  <c r="A540" i="1"/>
  <c r="C540" i="1" s="1"/>
  <c r="A548" i="1"/>
  <c r="C548" i="1" s="1"/>
  <c r="A556" i="1"/>
  <c r="C556" i="1" s="1"/>
  <c r="A564" i="1"/>
  <c r="C564" i="1" s="1"/>
  <c r="A572" i="1"/>
  <c r="A580" i="1"/>
  <c r="C580" i="1" s="1"/>
  <c r="A588" i="1"/>
  <c r="C588" i="1" s="1"/>
  <c r="A596" i="1"/>
  <c r="C596" i="1" s="1"/>
  <c r="A604" i="1"/>
  <c r="C604" i="1" s="1"/>
  <c r="A612" i="1"/>
  <c r="C612" i="1" s="1"/>
  <c r="A620" i="1"/>
  <c r="C620" i="1" s="1"/>
  <c r="A628" i="1"/>
  <c r="C628" i="1" s="1"/>
  <c r="A636" i="1"/>
  <c r="C636" i="1" s="1"/>
  <c r="H135" i="1"/>
  <c r="A135" i="1"/>
  <c r="C135" i="1" s="1"/>
  <c r="H151" i="1"/>
  <c r="A151" i="1"/>
  <c r="C151" i="1" s="1"/>
  <c r="H131" i="1"/>
  <c r="A131" i="1"/>
  <c r="C131" i="1" s="1"/>
  <c r="H147" i="1"/>
  <c r="A147" i="1"/>
  <c r="C147" i="1" s="1"/>
  <c r="H163" i="1"/>
  <c r="A163" i="1"/>
  <c r="C163" i="1" s="1"/>
  <c r="H166" i="1"/>
  <c r="A166" i="1"/>
  <c r="C166" i="1" s="1"/>
  <c r="H171" i="1"/>
  <c r="A171" i="1"/>
  <c r="C171" i="1" s="1"/>
  <c r="H174" i="1"/>
  <c r="A174" i="1"/>
  <c r="C174" i="1" s="1"/>
  <c r="H179" i="1"/>
  <c r="A179" i="1"/>
  <c r="C179" i="1" s="1"/>
  <c r="H182" i="1"/>
  <c r="A182" i="1"/>
  <c r="C182" i="1" s="1"/>
  <c r="H187" i="1"/>
  <c r="A187" i="1"/>
  <c r="C187" i="1" s="1"/>
  <c r="H190" i="1"/>
  <c r="A190" i="1"/>
  <c r="C190" i="1" s="1"/>
  <c r="H195" i="1"/>
  <c r="A195" i="1"/>
  <c r="C195" i="1" s="1"/>
  <c r="H198" i="1"/>
  <c r="A198" i="1"/>
  <c r="C198" i="1" s="1"/>
  <c r="H203" i="1"/>
  <c r="A203" i="1"/>
  <c r="H206" i="1"/>
  <c r="A206" i="1"/>
  <c r="C206" i="1" s="1"/>
  <c r="H211" i="1"/>
  <c r="A211" i="1"/>
  <c r="C211" i="1" s="1"/>
  <c r="H214" i="1"/>
  <c r="A214" i="1"/>
  <c r="C214" i="1" s="1"/>
  <c r="H219" i="1"/>
  <c r="A219" i="1"/>
  <c r="C219" i="1" s="1"/>
  <c r="H222" i="1"/>
  <c r="A222" i="1"/>
  <c r="C222" i="1" s="1"/>
  <c r="H230" i="1"/>
  <c r="A230" i="1"/>
  <c r="C230" i="1" s="1"/>
  <c r="H238" i="1"/>
  <c r="A238" i="1"/>
  <c r="C238" i="1" s="1"/>
  <c r="H246" i="1"/>
  <c r="A246" i="1"/>
  <c r="C246" i="1" s="1"/>
  <c r="H254" i="1"/>
  <c r="A254" i="1"/>
  <c r="C254" i="1" s="1"/>
  <c r="H262" i="1"/>
  <c r="A262" i="1"/>
  <c r="C262" i="1" s="1"/>
  <c r="H270" i="1"/>
  <c r="A270" i="1"/>
  <c r="C270" i="1" s="1"/>
  <c r="H278" i="1"/>
  <c r="A278" i="1"/>
  <c r="C278" i="1" s="1"/>
  <c r="H286" i="1"/>
  <c r="A286" i="1"/>
  <c r="C286" i="1" s="1"/>
  <c r="H294" i="1"/>
  <c r="A294" i="1"/>
  <c r="C294" i="1" s="1"/>
  <c r="H302" i="1"/>
  <c r="A302" i="1"/>
  <c r="C302" i="1" s="1"/>
  <c r="H310" i="1"/>
  <c r="A310" i="1"/>
  <c r="C310" i="1" s="1"/>
  <c r="A3" i="1"/>
  <c r="C3" i="1" s="1"/>
  <c r="A7" i="1"/>
  <c r="C7" i="1" s="1"/>
  <c r="A11" i="1"/>
  <c r="C11" i="1" s="1"/>
  <c r="A15" i="1"/>
  <c r="C15" i="1" s="1"/>
  <c r="A19" i="1"/>
  <c r="C19" i="1" s="1"/>
  <c r="A31" i="1"/>
  <c r="C31" i="1" s="1"/>
  <c r="A35" i="1"/>
  <c r="C35" i="1" s="1"/>
  <c r="A39" i="1"/>
  <c r="C39" i="1" s="1"/>
  <c r="A43" i="1"/>
  <c r="C43" i="1" s="1"/>
  <c r="A47" i="1"/>
  <c r="A51" i="1"/>
  <c r="C51" i="1" s="1"/>
  <c r="A55" i="1"/>
  <c r="C55" i="1" s="1"/>
  <c r="A59" i="1"/>
  <c r="C59" i="1" s="1"/>
  <c r="A63" i="1"/>
  <c r="C63" i="1" s="1"/>
  <c r="A67" i="1"/>
  <c r="C67" i="1" s="1"/>
  <c r="A71" i="1"/>
  <c r="C71" i="1" s="1"/>
  <c r="A75" i="1"/>
  <c r="C75" i="1" s="1"/>
  <c r="A79" i="1"/>
  <c r="C79" i="1" s="1"/>
  <c r="A83" i="1"/>
  <c r="C83" i="1" s="1"/>
  <c r="A87" i="1"/>
  <c r="C87" i="1" s="1"/>
  <c r="A91" i="1"/>
  <c r="C91" i="1" s="1"/>
  <c r="A95" i="1"/>
  <c r="C95" i="1" s="1"/>
  <c r="A99" i="1"/>
  <c r="C99" i="1" s="1"/>
  <c r="A103" i="1"/>
  <c r="C103" i="1" s="1"/>
  <c r="A107" i="1"/>
  <c r="C107" i="1" s="1"/>
  <c r="A111" i="1"/>
  <c r="C111" i="1" s="1"/>
  <c r="A115" i="1"/>
  <c r="C115" i="1" s="1"/>
  <c r="A119" i="1"/>
  <c r="C119" i="1" s="1"/>
  <c r="A126" i="1"/>
  <c r="C126" i="1" s="1"/>
  <c r="H127" i="1"/>
  <c r="A127" i="1"/>
  <c r="C127" i="1" s="1"/>
  <c r="A132" i="1"/>
  <c r="C132" i="1" s="1"/>
  <c r="A142" i="1"/>
  <c r="C142" i="1" s="1"/>
  <c r="H143" i="1"/>
  <c r="A143" i="1"/>
  <c r="C143" i="1" s="1"/>
  <c r="A148" i="1"/>
  <c r="C148" i="1" s="1"/>
  <c r="A158" i="1"/>
  <c r="C158" i="1" s="1"/>
  <c r="H159" i="1"/>
  <c r="A159" i="1"/>
  <c r="C159" i="1" s="1"/>
  <c r="A23" i="1"/>
  <c r="C23" i="1" s="1"/>
  <c r="A27" i="1"/>
  <c r="A2" i="1"/>
  <c r="C2" i="1" s="1"/>
  <c r="A6" i="1"/>
  <c r="C6" i="1" s="1"/>
  <c r="A10" i="1"/>
  <c r="C10" i="1" s="1"/>
  <c r="A14" i="1"/>
  <c r="C14" i="1" s="1"/>
  <c r="A18" i="1"/>
  <c r="C18" i="1" s="1"/>
  <c r="A22" i="1"/>
  <c r="C22" i="1" s="1"/>
  <c r="A26" i="1"/>
  <c r="C26" i="1" s="1"/>
  <c r="A30" i="1"/>
  <c r="C30" i="1" s="1"/>
  <c r="A34" i="1"/>
  <c r="C34" i="1" s="1"/>
  <c r="A38" i="1"/>
  <c r="C38" i="1" s="1"/>
  <c r="A42" i="1"/>
  <c r="C42" i="1" s="1"/>
  <c r="A46" i="1"/>
  <c r="C46" i="1" s="1"/>
  <c r="A50" i="1"/>
  <c r="C50" i="1" s="1"/>
  <c r="A54" i="1"/>
  <c r="C54" i="1" s="1"/>
  <c r="A58" i="1"/>
  <c r="C58" i="1" s="1"/>
  <c r="A62" i="1"/>
  <c r="C62" i="1" s="1"/>
  <c r="A66" i="1"/>
  <c r="C66" i="1" s="1"/>
  <c r="A70" i="1"/>
  <c r="C70" i="1" s="1"/>
  <c r="A74" i="1"/>
  <c r="C74" i="1" s="1"/>
  <c r="A78" i="1"/>
  <c r="C78" i="1" s="1"/>
  <c r="A82" i="1"/>
  <c r="C82" i="1" s="1"/>
  <c r="A86" i="1"/>
  <c r="C86" i="1" s="1"/>
  <c r="A90" i="1"/>
  <c r="C90" i="1" s="1"/>
  <c r="A94" i="1"/>
  <c r="C94" i="1" s="1"/>
  <c r="A98" i="1"/>
  <c r="C98" i="1" s="1"/>
  <c r="A102" i="1"/>
  <c r="C102" i="1" s="1"/>
  <c r="A106" i="1"/>
  <c r="C106" i="1" s="1"/>
  <c r="A110" i="1"/>
  <c r="C110" i="1" s="1"/>
  <c r="A114" i="1"/>
  <c r="C114" i="1" s="1"/>
  <c r="A118" i="1"/>
  <c r="C118" i="1" s="1"/>
  <c r="A122" i="1"/>
  <c r="C122" i="1" s="1"/>
  <c r="H123" i="1"/>
  <c r="A123" i="1"/>
  <c r="C123" i="1" s="1"/>
  <c r="A128" i="1"/>
  <c r="C128" i="1" s="1"/>
  <c r="A138" i="1"/>
  <c r="C138" i="1" s="1"/>
  <c r="H139" i="1"/>
  <c r="A139" i="1"/>
  <c r="C139" i="1" s="1"/>
  <c r="A144" i="1"/>
  <c r="C144" i="1" s="1"/>
  <c r="A154" i="1"/>
  <c r="C154" i="1" s="1"/>
  <c r="H155" i="1"/>
  <c r="A155" i="1"/>
  <c r="C155" i="1" s="1"/>
  <c r="A160" i="1"/>
  <c r="C160" i="1" s="1"/>
  <c r="H167" i="1"/>
  <c r="A167" i="1"/>
  <c r="C167" i="1" s="1"/>
  <c r="H170" i="1"/>
  <c r="A170" i="1"/>
  <c r="C170" i="1" s="1"/>
  <c r="H175" i="1"/>
  <c r="A175" i="1"/>
  <c r="C175" i="1" s="1"/>
  <c r="H178" i="1"/>
  <c r="A178" i="1"/>
  <c r="C178" i="1" s="1"/>
  <c r="H183" i="1"/>
  <c r="A183" i="1"/>
  <c r="C183" i="1" s="1"/>
  <c r="H186" i="1"/>
  <c r="A186" i="1"/>
  <c r="C186" i="1" s="1"/>
  <c r="H191" i="1"/>
  <c r="A191" i="1"/>
  <c r="C191" i="1" s="1"/>
  <c r="H194" i="1"/>
  <c r="A194" i="1"/>
  <c r="C194" i="1" s="1"/>
  <c r="H199" i="1"/>
  <c r="A199" i="1"/>
  <c r="C199" i="1" s="1"/>
  <c r="H202" i="1"/>
  <c r="A202" i="1"/>
  <c r="C202" i="1" s="1"/>
  <c r="H207" i="1"/>
  <c r="A207" i="1"/>
  <c r="C207" i="1" s="1"/>
  <c r="H210" i="1"/>
  <c r="A210" i="1"/>
  <c r="C210" i="1" s="1"/>
  <c r="H215" i="1"/>
  <c r="A215" i="1"/>
  <c r="C215" i="1" s="1"/>
  <c r="H218" i="1"/>
  <c r="A218" i="1"/>
  <c r="C218" i="1" s="1"/>
  <c r="H223" i="1"/>
  <c r="A223" i="1"/>
  <c r="C223" i="1" s="1"/>
  <c r="H226" i="1"/>
  <c r="A226" i="1"/>
  <c r="C226" i="1" s="1"/>
  <c r="H234" i="1"/>
  <c r="A234" i="1"/>
  <c r="C234" i="1" s="1"/>
  <c r="H242" i="1"/>
  <c r="A242" i="1"/>
  <c r="C242" i="1" s="1"/>
  <c r="H250" i="1"/>
  <c r="A250" i="1"/>
  <c r="C250" i="1" s="1"/>
  <c r="H258" i="1"/>
  <c r="A258" i="1"/>
  <c r="C258" i="1" s="1"/>
  <c r="H266" i="1"/>
  <c r="A266" i="1"/>
  <c r="C266" i="1" s="1"/>
  <c r="H274" i="1"/>
  <c r="A274" i="1"/>
  <c r="C274" i="1" s="1"/>
  <c r="H282" i="1"/>
  <c r="A282" i="1"/>
  <c r="C282" i="1" s="1"/>
  <c r="H290" i="1"/>
  <c r="A290" i="1"/>
  <c r="C290" i="1" s="1"/>
  <c r="H298" i="1"/>
  <c r="A298" i="1"/>
  <c r="C298" i="1" s="1"/>
  <c r="H306" i="1"/>
  <c r="A306" i="1"/>
  <c r="C306" i="1" s="1"/>
  <c r="H314" i="1"/>
  <c r="A314" i="1"/>
  <c r="C314" i="1" s="1"/>
  <c r="A227" i="1"/>
  <c r="C227" i="1" s="1"/>
  <c r="A231" i="1"/>
  <c r="C231" i="1" s="1"/>
  <c r="A235" i="1"/>
  <c r="C235" i="1" s="1"/>
  <c r="A239" i="1"/>
  <c r="C239" i="1" s="1"/>
  <c r="A243" i="1"/>
  <c r="C243" i="1" s="1"/>
  <c r="A247" i="1"/>
  <c r="C247" i="1" s="1"/>
  <c r="A251" i="1"/>
  <c r="C251" i="1" s="1"/>
  <c r="A255" i="1"/>
  <c r="C255" i="1" s="1"/>
  <c r="A259" i="1"/>
  <c r="C259" i="1" s="1"/>
  <c r="A263" i="1"/>
  <c r="C263" i="1" s="1"/>
  <c r="A267" i="1"/>
  <c r="C267" i="1" s="1"/>
  <c r="A271" i="1"/>
  <c r="C271" i="1" s="1"/>
  <c r="A275" i="1"/>
  <c r="C275" i="1" s="1"/>
  <c r="A279" i="1"/>
  <c r="C279" i="1" s="1"/>
  <c r="A283" i="1"/>
  <c r="C283" i="1" s="1"/>
  <c r="A287" i="1"/>
  <c r="C287" i="1" s="1"/>
  <c r="A291" i="1"/>
  <c r="C291" i="1" s="1"/>
  <c r="A295" i="1"/>
  <c r="C295" i="1" s="1"/>
  <c r="A299" i="1"/>
  <c r="C299" i="1" s="1"/>
  <c r="A303" i="1"/>
  <c r="C303" i="1" s="1"/>
  <c r="A307" i="1"/>
  <c r="C307" i="1" s="1"/>
  <c r="A311" i="1"/>
  <c r="C311" i="1" s="1"/>
  <c r="A315" i="1"/>
  <c r="C315" i="1" s="1"/>
  <c r="A319" i="1"/>
  <c r="C319" i="1" s="1"/>
  <c r="A323" i="1"/>
  <c r="C323" i="1" s="1"/>
  <c r="A327" i="1"/>
  <c r="C327" i="1" s="1"/>
  <c r="A331" i="1"/>
  <c r="C331" i="1" s="1"/>
  <c r="A335" i="1"/>
  <c r="C335" i="1" s="1"/>
  <c r="A339" i="1"/>
  <c r="C339" i="1" s="1"/>
  <c r="A343" i="1"/>
  <c r="C343" i="1" s="1"/>
  <c r="A347" i="1"/>
  <c r="C347" i="1" s="1"/>
  <c r="A351" i="1"/>
  <c r="C351" i="1" s="1"/>
  <c r="A355" i="1"/>
  <c r="C355" i="1" s="1"/>
  <c r="A359" i="1"/>
  <c r="C359" i="1" s="1"/>
  <c r="A363" i="1"/>
  <c r="C363" i="1" s="1"/>
  <c r="A367" i="1"/>
  <c r="C367" i="1" s="1"/>
  <c r="A371" i="1"/>
  <c r="C371" i="1" s="1"/>
  <c r="A375" i="1"/>
  <c r="C375" i="1" s="1"/>
  <c r="A379" i="1"/>
  <c r="C379" i="1" s="1"/>
  <c r="A383" i="1"/>
  <c r="C383" i="1" s="1"/>
  <c r="A387" i="1"/>
  <c r="C387" i="1" s="1"/>
  <c r="A391" i="1"/>
  <c r="C391" i="1" s="1"/>
  <c r="A395" i="1"/>
  <c r="C395" i="1" s="1"/>
  <c r="A399" i="1"/>
  <c r="C399" i="1" s="1"/>
  <c r="A403" i="1"/>
  <c r="C403" i="1" s="1"/>
  <c r="A407" i="1"/>
  <c r="C407" i="1" s="1"/>
  <c r="A411" i="1"/>
  <c r="C411" i="1" s="1"/>
  <c r="A415" i="1"/>
  <c r="C415" i="1" s="1"/>
  <c r="A419" i="1"/>
  <c r="C419" i="1" s="1"/>
  <c r="A423" i="1"/>
  <c r="C423" i="1" s="1"/>
  <c r="A427" i="1"/>
  <c r="C427" i="1" s="1"/>
  <c r="A431" i="1"/>
  <c r="C431" i="1" s="1"/>
  <c r="A435" i="1"/>
  <c r="C435" i="1" s="1"/>
  <c r="A439" i="1"/>
  <c r="C439" i="1" s="1"/>
  <c r="A443" i="1"/>
  <c r="C443" i="1" s="1"/>
  <c r="A447" i="1"/>
  <c r="C447" i="1" s="1"/>
  <c r="A451" i="1"/>
  <c r="C451" i="1" s="1"/>
  <c r="A455" i="1"/>
  <c r="C455" i="1" s="1"/>
  <c r="A459" i="1"/>
  <c r="C459" i="1" s="1"/>
  <c r="A463" i="1"/>
  <c r="C463" i="1" s="1"/>
  <c r="A467" i="1"/>
  <c r="C467" i="1" s="1"/>
  <c r="A471" i="1"/>
  <c r="C471" i="1" s="1"/>
  <c r="A475" i="1"/>
  <c r="C475" i="1" s="1"/>
  <c r="A479" i="1"/>
  <c r="C479" i="1" s="1"/>
  <c r="A483" i="1"/>
  <c r="C483" i="1" s="1"/>
  <c r="A487" i="1"/>
  <c r="C487" i="1" s="1"/>
  <c r="A491" i="1"/>
  <c r="C491" i="1" s="1"/>
  <c r="A495" i="1"/>
  <c r="C495" i="1" s="1"/>
  <c r="A499" i="1"/>
  <c r="C499" i="1" s="1"/>
  <c r="A503" i="1"/>
  <c r="C503" i="1" s="1"/>
  <c r="A507" i="1"/>
  <c r="C507" i="1" s="1"/>
  <c r="A511" i="1"/>
  <c r="C511" i="1" s="1"/>
  <c r="A515" i="1"/>
  <c r="C515" i="1" s="1"/>
  <c r="A519" i="1"/>
  <c r="C519" i="1" s="1"/>
  <c r="A523" i="1"/>
  <c r="C523" i="1" s="1"/>
  <c r="A527" i="1"/>
  <c r="C527" i="1" s="1"/>
  <c r="A531" i="1"/>
  <c r="C531" i="1" s="1"/>
  <c r="A535" i="1"/>
  <c r="C535" i="1" s="1"/>
  <c r="A539" i="1"/>
  <c r="C539" i="1" s="1"/>
  <c r="A543" i="1"/>
  <c r="C543" i="1" s="1"/>
  <c r="A547" i="1"/>
  <c r="C547" i="1" s="1"/>
  <c r="A551" i="1"/>
  <c r="C551" i="1" s="1"/>
  <c r="A555" i="1"/>
  <c r="C555" i="1" s="1"/>
  <c r="A559" i="1"/>
  <c r="C559" i="1" s="1"/>
  <c r="A563" i="1"/>
  <c r="C563" i="1" s="1"/>
  <c r="A567" i="1"/>
  <c r="C567" i="1" s="1"/>
  <c r="A571" i="1"/>
  <c r="C571" i="1" s="1"/>
  <c r="A575" i="1"/>
  <c r="C575" i="1" s="1"/>
  <c r="A579" i="1"/>
  <c r="C579" i="1" s="1"/>
  <c r="A583" i="1"/>
  <c r="C583" i="1" s="1"/>
  <c r="A587" i="1"/>
  <c r="C587" i="1" s="1"/>
  <c r="A591" i="1"/>
  <c r="C591" i="1" s="1"/>
  <c r="A595" i="1"/>
  <c r="C595" i="1" s="1"/>
  <c r="A599" i="1"/>
  <c r="C599" i="1" s="1"/>
  <c r="A603" i="1"/>
  <c r="C603" i="1" s="1"/>
  <c r="A607" i="1"/>
  <c r="C607" i="1" s="1"/>
  <c r="A611" i="1"/>
  <c r="C611" i="1" s="1"/>
  <c r="A615" i="1"/>
  <c r="C615" i="1" s="1"/>
  <c r="A619" i="1"/>
  <c r="C619" i="1" s="1"/>
  <c r="A623" i="1"/>
  <c r="C623" i="1" s="1"/>
  <c r="A627" i="1"/>
  <c r="C627" i="1" s="1"/>
  <c r="A631" i="1"/>
  <c r="C631" i="1" s="1"/>
  <c r="A635" i="1"/>
  <c r="C635" i="1" s="1"/>
  <c r="A639" i="1"/>
  <c r="C639" i="1" s="1"/>
  <c r="A318" i="1"/>
  <c r="C318" i="1" s="1"/>
  <c r="A322" i="1"/>
  <c r="C322" i="1" s="1"/>
  <c r="A326" i="1"/>
  <c r="C326" i="1" s="1"/>
  <c r="A330" i="1"/>
  <c r="C330" i="1" s="1"/>
  <c r="A334" i="1"/>
  <c r="C334" i="1" s="1"/>
  <c r="A338" i="1"/>
  <c r="C338" i="1" s="1"/>
  <c r="A342" i="1"/>
  <c r="C342" i="1" s="1"/>
  <c r="A346" i="1"/>
  <c r="C346" i="1" s="1"/>
  <c r="A350" i="1"/>
  <c r="C350" i="1" s="1"/>
  <c r="A354" i="1"/>
  <c r="C354" i="1" s="1"/>
  <c r="A358" i="1"/>
  <c r="C358" i="1" s="1"/>
  <c r="A362" i="1"/>
  <c r="C362" i="1" s="1"/>
  <c r="A366" i="1"/>
  <c r="C366" i="1" s="1"/>
  <c r="A370" i="1"/>
  <c r="C370" i="1" s="1"/>
  <c r="A374" i="1"/>
  <c r="C374" i="1" s="1"/>
  <c r="A378" i="1"/>
  <c r="C378" i="1" s="1"/>
  <c r="A382" i="1"/>
  <c r="C382" i="1" s="1"/>
  <c r="A386" i="1"/>
  <c r="C386" i="1" s="1"/>
  <c r="A390" i="1"/>
  <c r="C390" i="1" s="1"/>
  <c r="A394" i="1"/>
  <c r="C394" i="1" s="1"/>
  <c r="A398" i="1"/>
  <c r="C398" i="1" s="1"/>
  <c r="A402" i="1"/>
  <c r="C402" i="1" s="1"/>
  <c r="A406" i="1"/>
  <c r="C406" i="1" s="1"/>
  <c r="A410" i="1"/>
  <c r="C410" i="1" s="1"/>
  <c r="A414" i="1"/>
  <c r="C414" i="1" s="1"/>
  <c r="A418" i="1"/>
  <c r="C418" i="1" s="1"/>
  <c r="A422" i="1"/>
  <c r="C422" i="1" s="1"/>
  <c r="A426" i="1"/>
  <c r="C426" i="1" s="1"/>
  <c r="A430" i="1"/>
  <c r="C430" i="1" s="1"/>
  <c r="A434" i="1"/>
  <c r="C434" i="1" s="1"/>
  <c r="A438" i="1"/>
  <c r="C438" i="1" s="1"/>
  <c r="A442" i="1"/>
  <c r="C442" i="1" s="1"/>
  <c r="A446" i="1"/>
  <c r="C446" i="1" s="1"/>
  <c r="A450" i="1"/>
  <c r="C450" i="1" s="1"/>
  <c r="A454" i="1"/>
  <c r="C454" i="1" s="1"/>
  <c r="A458" i="1"/>
  <c r="C458" i="1" s="1"/>
  <c r="A462" i="1"/>
  <c r="C462" i="1" s="1"/>
  <c r="A466" i="1"/>
  <c r="C466" i="1" s="1"/>
  <c r="A470" i="1"/>
  <c r="C470" i="1" s="1"/>
  <c r="A474" i="1"/>
  <c r="C474" i="1" s="1"/>
  <c r="A478" i="1"/>
  <c r="C478" i="1" s="1"/>
  <c r="A482" i="1"/>
  <c r="C482" i="1" s="1"/>
  <c r="A486" i="1"/>
  <c r="C486" i="1" s="1"/>
  <c r="A490" i="1"/>
  <c r="C490" i="1" s="1"/>
  <c r="A494" i="1"/>
  <c r="C494" i="1" s="1"/>
  <c r="A498" i="1"/>
  <c r="C498" i="1" s="1"/>
  <c r="A502" i="1"/>
  <c r="C502" i="1" s="1"/>
  <c r="A506" i="1"/>
  <c r="C506" i="1" s="1"/>
  <c r="A510" i="1"/>
  <c r="C510" i="1" s="1"/>
  <c r="A514" i="1"/>
  <c r="C514" i="1" s="1"/>
  <c r="A518" i="1"/>
  <c r="C518" i="1" s="1"/>
  <c r="A522" i="1"/>
  <c r="C522" i="1" s="1"/>
  <c r="A526" i="1"/>
  <c r="C526" i="1" s="1"/>
  <c r="A530" i="1"/>
  <c r="C530" i="1" s="1"/>
  <c r="A534" i="1"/>
  <c r="C534" i="1" s="1"/>
  <c r="A538" i="1"/>
  <c r="C538" i="1" s="1"/>
  <c r="A542" i="1"/>
  <c r="C542" i="1" s="1"/>
  <c r="A546" i="1"/>
  <c r="C546" i="1" s="1"/>
  <c r="A550" i="1"/>
  <c r="C550" i="1" s="1"/>
  <c r="A554" i="1"/>
  <c r="C554" i="1" s="1"/>
  <c r="A558" i="1"/>
  <c r="C558" i="1" s="1"/>
  <c r="A562" i="1"/>
  <c r="C562" i="1" s="1"/>
  <c r="A566" i="1"/>
  <c r="C566" i="1" s="1"/>
  <c r="A570" i="1"/>
  <c r="C570" i="1" s="1"/>
  <c r="A574" i="1"/>
  <c r="C574" i="1" s="1"/>
  <c r="A578" i="1"/>
  <c r="C578" i="1" s="1"/>
  <c r="A582" i="1"/>
  <c r="C582" i="1" s="1"/>
  <c r="A586" i="1"/>
  <c r="C586" i="1" s="1"/>
  <c r="A590" i="1"/>
  <c r="C590" i="1" s="1"/>
  <c r="A594" i="1"/>
  <c r="C594" i="1" s="1"/>
  <c r="A598" i="1"/>
  <c r="C598" i="1" s="1"/>
  <c r="A602" i="1"/>
  <c r="C602" i="1" s="1"/>
  <c r="A606" i="1"/>
  <c r="C606" i="1" s="1"/>
  <c r="A610" i="1"/>
  <c r="C610" i="1" s="1"/>
  <c r="A614" i="1"/>
  <c r="C614" i="1" s="1"/>
  <c r="A618" i="1"/>
  <c r="C618" i="1" s="1"/>
  <c r="A622" i="1"/>
  <c r="C622" i="1" s="1"/>
  <c r="A626" i="1"/>
  <c r="C626" i="1" s="1"/>
  <c r="A630" i="1"/>
  <c r="C630" i="1" s="1"/>
  <c r="A634" i="1"/>
  <c r="C634" i="1" s="1"/>
  <c r="A638" i="1"/>
  <c r="C638" i="1" s="1"/>
  <c r="C641" i="1"/>
  <c r="C640" i="1"/>
  <c r="C625" i="1"/>
  <c r="C585" i="1"/>
  <c r="C584" i="1"/>
  <c r="C572" i="1"/>
  <c r="C544" i="1"/>
  <c r="C521" i="1"/>
  <c r="C493" i="1"/>
  <c r="C473" i="1"/>
  <c r="C464" i="1"/>
  <c r="C441" i="1"/>
  <c r="C433" i="1"/>
  <c r="C400" i="1"/>
  <c r="C397" i="1"/>
  <c r="C388" i="1"/>
  <c r="C313" i="1"/>
  <c r="C284" i="1"/>
  <c r="C233" i="1"/>
  <c r="C224" i="1"/>
  <c r="C203" i="1"/>
  <c r="C177" i="1"/>
  <c r="C150" i="1"/>
  <c r="C89" i="1"/>
  <c r="C68" i="1"/>
  <c r="C47" i="1"/>
  <c r="C27" i="1"/>
  <c r="C8" i="1"/>
</calcChain>
</file>

<file path=xl/connections.xml><?xml version="1.0" encoding="utf-8"?>
<connections xmlns="http://schemas.openxmlformats.org/spreadsheetml/2006/main">
  <connection id="1" name="EnemyBulletDefaultCfgs" type="4" refreshedVersion="0" background="1">
    <webPr xml="1" sourceData="1" url="F:\MyProject\BarrageDemo\Assets\StreamingAssets\Configs\EnemyBulletDefaultCfgs.xml" htmlTables="1" htmlFormat="all"/>
  </connection>
  <connection id="2" name="EnemyBulletDefaultCfgs1" type="4" refreshedVersion="0" background="1">
    <webPr xml="1" sourceData="1" url="F:\MyProject\excel\EnemyBulletDefaultCfgs.xml" htmlTables="1" htmlFormat="all"/>
  </connection>
  <connection id="3" name="EnemyBulletDefaultCfgs2" type="4" refreshedVersion="0" background="1">
    <webPr xml="1" sourceData="1" url="F:\MyProject\excel\EnemyBulletDefaultCfgs.xml" htmlTables="1" htmlFormat="all"/>
  </connection>
  <connection id="4" name="EnemyBulletDefaultCfgs3" type="4" refreshedVersion="0" background="1">
    <webPr xml="1" sourceData="1" url="F:\MyProject\excel\EnemyBulletDefaultCfgs.xml" htmlTables="1" htmlFormat="all"/>
  </connection>
  <connection id="5" name="text" type="4" refreshedVersion="0" background="1">
    <webPr xml="1" sourceData="1" url="F:\MyProject\excel\text.xml" htmlTables="1" htmlFormat="all"/>
  </connection>
</connections>
</file>

<file path=xl/sharedStrings.xml><?xml version="1.0" encoding="utf-8"?>
<sst xmlns="http://schemas.openxmlformats.org/spreadsheetml/2006/main" count="193" uniqueCount="145">
  <si>
    <t>comment</t>
    <phoneticPr fontId="1" type="noConversion"/>
  </si>
  <si>
    <t>isRotatedByVAngle</t>
    <phoneticPr fontId="1" type="noConversion"/>
  </si>
  <si>
    <t>selfRotationAngle</t>
    <phoneticPr fontId="1" type="noConversion"/>
  </si>
  <si>
    <t>grazeHalfWidth</t>
    <phoneticPr fontId="1" type="noConversion"/>
  </si>
  <si>
    <t>grazeHalfHeight</t>
    <phoneticPr fontId="1" type="noConversion"/>
  </si>
  <si>
    <t>collisionRadius</t>
    <phoneticPr fontId="1" type="noConversion"/>
  </si>
  <si>
    <t>eliminateColor</t>
    <phoneticPr fontId="1" type="noConversion"/>
  </si>
  <si>
    <t>id</t>
    <phoneticPr fontId="1" type="noConversion"/>
  </si>
  <si>
    <t>bulletType</t>
    <phoneticPr fontId="1" type="noConversion"/>
  </si>
  <si>
    <t>bulletColor</t>
    <phoneticPr fontId="1" type="noConversion"/>
  </si>
  <si>
    <t>blendMode</t>
    <phoneticPr fontId="1" type="noConversion"/>
  </si>
  <si>
    <t>BulletType</t>
    <phoneticPr fontId="1" type="noConversion"/>
  </si>
  <si>
    <t>Comment</t>
    <phoneticPr fontId="1" type="noConversion"/>
  </si>
  <si>
    <t>IsRotatedByVAngle</t>
    <phoneticPr fontId="1" type="noConversion"/>
  </si>
  <si>
    <t>SelfRotationAngle</t>
    <phoneticPr fontId="1" type="noConversion"/>
  </si>
  <si>
    <t>GrazeRadius</t>
    <phoneticPr fontId="1" type="noConversion"/>
  </si>
  <si>
    <t>CollisionRadius</t>
    <phoneticPr fontId="1" type="noConversion"/>
  </si>
  <si>
    <t>葡萄弹</t>
    <phoneticPr fontId="1" type="noConversion"/>
  </si>
  <si>
    <t>小玉</t>
    <phoneticPr fontId="1" type="noConversion"/>
  </si>
  <si>
    <t>环玉</t>
    <phoneticPr fontId="1" type="noConversion"/>
  </si>
  <si>
    <t>米弹</t>
    <phoneticPr fontId="1" type="noConversion"/>
  </si>
  <si>
    <t>点弹</t>
    <phoneticPr fontId="1" type="noConversion"/>
  </si>
  <si>
    <t>链弹</t>
    <phoneticPr fontId="1" type="noConversion"/>
  </si>
  <si>
    <t>针弹</t>
    <phoneticPr fontId="1" type="noConversion"/>
  </si>
  <si>
    <t>札弹</t>
    <phoneticPr fontId="1" type="noConversion"/>
  </si>
  <si>
    <t xml:space="preserve">鳞弹 </t>
    <phoneticPr fontId="1" type="noConversion"/>
  </si>
  <si>
    <t xml:space="preserve">铳弹 </t>
    <phoneticPr fontId="1" type="noConversion"/>
  </si>
  <si>
    <t xml:space="preserve">杆菌弹 </t>
    <phoneticPr fontId="1" type="noConversion"/>
  </si>
  <si>
    <t>星弹（小）</t>
  </si>
  <si>
    <t xml:space="preserve">钱币 </t>
    <phoneticPr fontId="1" type="noConversion"/>
  </si>
  <si>
    <t xml:space="preserve">中玉 </t>
    <phoneticPr fontId="1" type="noConversion"/>
  </si>
  <si>
    <t xml:space="preserve">椭弹 </t>
    <phoneticPr fontId="1" type="noConversion"/>
  </si>
  <si>
    <t xml:space="preserve">刀弹 </t>
    <phoneticPr fontId="1" type="noConversion"/>
  </si>
  <si>
    <t xml:space="preserve">蝶弹 </t>
    <phoneticPr fontId="1" type="noConversion"/>
  </si>
  <si>
    <t>星弹（大）</t>
    <phoneticPr fontId="1" type="noConversion"/>
  </si>
  <si>
    <t>大玉</t>
    <phoneticPr fontId="1" type="noConversion"/>
  </si>
  <si>
    <t xml:space="preserve">蔷薇 </t>
    <phoneticPr fontId="1" type="noConversion"/>
  </si>
  <si>
    <t>心弹</t>
    <phoneticPr fontId="1" type="noConversion"/>
  </si>
  <si>
    <t xml:space="preserve">滴弹 </t>
    <phoneticPr fontId="1" type="noConversion"/>
  </si>
  <si>
    <t>BulletColor</t>
    <phoneticPr fontId="1" type="noConversion"/>
  </si>
  <si>
    <t>EliminateColor</t>
    <phoneticPr fontId="1" type="noConversion"/>
  </si>
  <si>
    <t>0.5,0.5,0.5</t>
    <phoneticPr fontId="1" type="noConversion"/>
  </si>
  <si>
    <t>0.8,0.8,0.8</t>
    <phoneticPr fontId="1" type="noConversion"/>
  </si>
  <si>
    <t>0.625,0.3,0.3</t>
    <phoneticPr fontId="1" type="noConversion"/>
  </si>
  <si>
    <t>0.8,0.3,0.3</t>
    <phoneticPr fontId="1" type="noConversion"/>
  </si>
  <si>
    <t>1,0.65,1</t>
    <phoneticPr fontId="1" type="noConversion"/>
  </si>
  <si>
    <t>1,0.65,1</t>
    <phoneticPr fontId="1" type="noConversion"/>
  </si>
  <si>
    <t>0,0.1,1</t>
    <phoneticPr fontId="1" type="noConversion"/>
  </si>
  <si>
    <t>0,0.1,1</t>
    <phoneticPr fontId="1" type="noConversion"/>
  </si>
  <si>
    <t>0.25,1,1</t>
    <phoneticPr fontId="1" type="noConversion"/>
  </si>
  <si>
    <t>0.25,1,1</t>
    <phoneticPr fontId="1" type="noConversion"/>
  </si>
  <si>
    <t>0.36,0.78,1</t>
    <phoneticPr fontId="1" type="noConversion"/>
  </si>
  <si>
    <t>0.36,0.78,1</t>
    <phoneticPr fontId="1" type="noConversion"/>
  </si>
  <si>
    <t>0.9,1,0.4</t>
    <phoneticPr fontId="1" type="noConversion"/>
  </si>
  <si>
    <t>0.9,1,0.4</t>
    <phoneticPr fontId="1" type="noConversion"/>
  </si>
  <si>
    <t>0.9,1,0.4</t>
    <phoneticPr fontId="1" type="noConversion"/>
  </si>
  <si>
    <t>0.9,1,0.4</t>
    <phoneticPr fontId="1" type="noConversion"/>
  </si>
  <si>
    <t>ColorComment</t>
    <phoneticPr fontId="1" type="noConversion"/>
  </si>
  <si>
    <t>灰</t>
    <phoneticPr fontId="1" type="noConversion"/>
  </si>
  <si>
    <t>白</t>
    <phoneticPr fontId="1" type="noConversion"/>
  </si>
  <si>
    <t>红</t>
    <phoneticPr fontId="1" type="noConversion"/>
  </si>
  <si>
    <t>深红</t>
    <phoneticPr fontId="1" type="noConversion"/>
  </si>
  <si>
    <t>深紫</t>
    <phoneticPr fontId="1" type="noConversion"/>
  </si>
  <si>
    <t>紫</t>
    <phoneticPr fontId="1" type="noConversion"/>
  </si>
  <si>
    <t>深蓝</t>
    <phoneticPr fontId="1" type="noConversion"/>
  </si>
  <si>
    <t>蓝</t>
    <phoneticPr fontId="1" type="noConversion"/>
  </si>
  <si>
    <t>深青</t>
    <phoneticPr fontId="1" type="noConversion"/>
  </si>
  <si>
    <t>青</t>
    <phoneticPr fontId="1" type="noConversion"/>
  </si>
  <si>
    <t>深绿</t>
    <phoneticPr fontId="1" type="noConversion"/>
  </si>
  <si>
    <t>绿</t>
    <phoneticPr fontId="1" type="noConversion"/>
  </si>
  <si>
    <t>黄绿</t>
    <phoneticPr fontId="1" type="noConversion"/>
  </si>
  <si>
    <t>深黄</t>
    <phoneticPr fontId="1" type="noConversion"/>
  </si>
  <si>
    <t>浅黄</t>
    <phoneticPr fontId="1" type="noConversion"/>
  </si>
  <si>
    <t>棕黄</t>
    <phoneticPr fontId="1" type="noConversion"/>
  </si>
  <si>
    <t>materialType</t>
    <phoneticPr fontId="1" type="noConversion"/>
  </si>
  <si>
    <t>spriteName</t>
    <phoneticPr fontId="1" type="noConversion"/>
  </si>
  <si>
    <t>appearEffectName</t>
    <phoneticPr fontId="1" type="noConversion"/>
  </si>
  <si>
    <t>size</t>
    <phoneticPr fontId="1" type="noConversion"/>
  </si>
  <si>
    <t>大光玉</t>
    <phoneticPr fontId="1" type="noConversion"/>
  </si>
  <si>
    <t>箭弹</t>
    <phoneticPr fontId="1" type="noConversion"/>
  </si>
  <si>
    <t>小光玉</t>
    <phoneticPr fontId="1" type="noConversion"/>
  </si>
  <si>
    <t>休止符</t>
    <phoneticPr fontId="1" type="noConversion"/>
  </si>
  <si>
    <t>AppearEffectSuffix</t>
    <phoneticPr fontId="1" type="noConversion"/>
  </si>
  <si>
    <t>AppearEffectPrefix</t>
    <phoneticPr fontId="1" type="noConversion"/>
  </si>
  <si>
    <t>Bullet200</t>
    <phoneticPr fontId="1" type="noConversion"/>
  </si>
  <si>
    <t>Bullet122</t>
    <phoneticPr fontId="1" type="noConversion"/>
  </si>
  <si>
    <t>2,1</t>
    <phoneticPr fontId="1" type="noConversion"/>
  </si>
  <si>
    <t>AppearEffectSize</t>
    <phoneticPr fontId="1" type="noConversion"/>
  </si>
  <si>
    <t>3,0.751</t>
    <phoneticPr fontId="1" type="noConversion"/>
  </si>
  <si>
    <t>3.2,0.8</t>
    <phoneticPr fontId="1" type="noConversion"/>
  </si>
  <si>
    <t>2.4,0.61</t>
    <phoneticPr fontId="1" type="noConversion"/>
  </si>
  <si>
    <t>4,1</t>
    <phoneticPr fontId="1" type="noConversion"/>
  </si>
  <si>
    <t>1.6,0.406</t>
    <phoneticPr fontId="1" type="noConversion"/>
  </si>
  <si>
    <t>0,0</t>
    <phoneticPr fontId="1" type="noConversion"/>
  </si>
  <si>
    <t>8,2</t>
    <phoneticPr fontId="1" type="noConversion"/>
  </si>
  <si>
    <t>4,0.998</t>
    <phoneticPr fontId="1" type="noConversion"/>
  </si>
  <si>
    <t>2.8,0.7</t>
    <phoneticPr fontId="1" type="noConversion"/>
  </si>
  <si>
    <t>3,0.754</t>
    <phoneticPr fontId="1" type="noConversion"/>
  </si>
  <si>
    <t>3,0.701</t>
    <phoneticPr fontId="1" type="noConversion"/>
  </si>
  <si>
    <t>4,1</t>
    <phoneticPr fontId="1" type="noConversion"/>
  </si>
  <si>
    <t>3,0.753</t>
    <phoneticPr fontId="1" type="noConversion"/>
  </si>
  <si>
    <t>2,0.5</t>
    <phoneticPr fontId="1" type="noConversion"/>
  </si>
  <si>
    <t>1.6,0.405</t>
    <phoneticPr fontId="1" type="noConversion"/>
  </si>
  <si>
    <t>1.6,0.4</t>
    <phoneticPr fontId="1" type="noConversion"/>
  </si>
  <si>
    <t>2.4,0.6</t>
    <phoneticPr fontId="1" type="noConversion"/>
  </si>
  <si>
    <t>3.2,0.8</t>
    <phoneticPr fontId="1" type="noConversion"/>
  </si>
  <si>
    <t>1.6,0.404</t>
    <phoneticPr fontId="1" type="noConversion"/>
  </si>
  <si>
    <t>1.6,0.407</t>
    <phoneticPr fontId="1" type="noConversion"/>
  </si>
  <si>
    <t>1.6,0.403</t>
    <phoneticPr fontId="1" type="noConversion"/>
  </si>
  <si>
    <t>3,0.75</t>
    <phoneticPr fontId="1" type="noConversion"/>
  </si>
  <si>
    <t>1.6,0.401</t>
    <phoneticPr fontId="1" type="noConversion"/>
  </si>
  <si>
    <t>1.6,0.402</t>
    <phoneticPr fontId="1" type="noConversion"/>
  </si>
  <si>
    <t>000</t>
    <phoneticPr fontId="1" type="noConversion"/>
  </si>
  <si>
    <t>010</t>
    <phoneticPr fontId="1" type="noConversion"/>
  </si>
  <si>
    <t>010</t>
    <phoneticPr fontId="1" type="noConversion"/>
  </si>
  <si>
    <t>030</t>
    <phoneticPr fontId="1" type="noConversion"/>
  </si>
  <si>
    <t>030</t>
    <phoneticPr fontId="1" type="noConversion"/>
  </si>
  <si>
    <t>050</t>
    <phoneticPr fontId="1" type="noConversion"/>
  </si>
  <si>
    <t>070</t>
    <phoneticPr fontId="1" type="noConversion"/>
  </si>
  <si>
    <t>090</t>
    <phoneticPr fontId="1" type="noConversion"/>
  </si>
  <si>
    <t>090</t>
    <phoneticPr fontId="1" type="noConversion"/>
  </si>
  <si>
    <t>090</t>
    <phoneticPr fontId="1" type="noConversion"/>
  </si>
  <si>
    <t>130</t>
    <phoneticPr fontId="1" type="noConversion"/>
  </si>
  <si>
    <t>130</t>
    <phoneticPr fontId="1" type="noConversion"/>
  </si>
  <si>
    <t>150</t>
    <phoneticPr fontId="1" type="noConversion"/>
  </si>
  <si>
    <t>Colors</t>
    <phoneticPr fontId="1" type="noConversion"/>
  </si>
  <si>
    <t>00,01,02,03,04,05,06,07,08,09,10,11,12,13,14,15</t>
    <phoneticPr fontId="1" type="noConversion"/>
  </si>
  <si>
    <t>ColorsCount</t>
    <phoneticPr fontId="1" type="noConversion"/>
  </si>
  <si>
    <t>00,01,03,05,07,09,13,15</t>
    <phoneticPr fontId="1" type="noConversion"/>
  </si>
  <si>
    <t>01,05,09,13</t>
    <phoneticPr fontId="1" type="noConversion"/>
  </si>
  <si>
    <t>01,05,09,13</t>
    <phoneticPr fontId="1" type="noConversion"/>
  </si>
  <si>
    <t>00,01,03,05,07,09,13,15</t>
    <phoneticPr fontId="1" type="noConversion"/>
  </si>
  <si>
    <t>00,01,02,03,04,05,06,07,08,09,10,11,12,13,14,15</t>
    <phoneticPr fontId="1" type="noConversion"/>
  </si>
  <si>
    <t>00,01,02,03,04,05,06,07,08,09,10,11,12,13,14,15</t>
    <phoneticPr fontId="1" type="noConversion"/>
  </si>
  <si>
    <t>AniFrameCount</t>
    <phoneticPr fontId="1" type="noConversion"/>
  </si>
  <si>
    <t>AniFrameInterval</t>
    <phoneticPr fontId="1" type="noConversion"/>
  </si>
  <si>
    <t>炎弹</t>
    <phoneticPr fontId="1" type="noConversion"/>
  </si>
  <si>
    <t>Bullet200</t>
    <phoneticPr fontId="1" type="noConversion"/>
  </si>
  <si>
    <t>3,1</t>
    <phoneticPr fontId="1" type="noConversion"/>
  </si>
  <si>
    <t>01,03,05,13</t>
    <phoneticPr fontId="1" type="noConversion"/>
  </si>
  <si>
    <t>音符</t>
    <phoneticPr fontId="1" type="noConversion"/>
  </si>
  <si>
    <t>3,1</t>
    <phoneticPr fontId="1" type="noConversion"/>
  </si>
  <si>
    <t>01,03,05,13</t>
    <phoneticPr fontId="1" type="noConversion"/>
  </si>
  <si>
    <t>aniFrameCount</t>
    <phoneticPr fontId="1" type="noConversion"/>
  </si>
  <si>
    <t>aniFrameInterval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</si>
</sst>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00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Bullet" form="unqualified">
              <xsd:complexType>
                <xsd:attribute name="id" form="unqualified" type="xsd:integer"/>
                <xsd:attribute name="comment" form="unqualified" type="xsd:string"/>
                <xsd:attribute name="spriteName" form="unqualified" type="xsd:string"/>
                <xsd:attribute name="aniFrameCount" form="unqualified" type="xsd:integer"/>
                <xsd:attribute name="aniFrameInterval" form="unqualified" type="xsd:integer"/>
                <xsd:attribute name="appearEffectName" form="unqualified" type="xsd:string"/>
                <xsd:attribute name="size" form="unqualified" type="xsd:string"/>
                <xsd:attribute name="materialType" form="unqualified" type="xsd:integer"/>
                <xsd:attribute name="isRotatedByVAngle" form="unqualified" type="xsd:integer"/>
                <xsd:attribute name="selfRotationAngle" form="unqualified" type="xsd:integer"/>
                <xsd:attribute name="grazeHalfWidth" form="unqualified" type="xsd:double"/>
                <xsd:attribute name="grazeHalfHeight" form="unqualified" type="xsd:double"/>
                <xsd:attribute name="collisionRadius" form="unqualified" type="xsd:double"/>
                <xsd:attribute name="eliminateColor" form="unqualified" type="xsd:string"/>
              </xsd:complexType>
            </xsd:element>
          </xsd:sequence>
        </xsd:complexType>
      </xsd:element>
    </xsd:schema>
  </Schema>
  <Map ID="5" Name="Data_映射" RootElement="Data" SchemaID="Schema3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Q753" tableType="xml" totalsRowShown="0" connectionId="4">
  <autoFilter ref="A1:Q753"/>
  <tableColumns count="17">
    <tableColumn id="1" uniqueName="id" name="id" dataDxfId="9">
      <xmlColumnPr mapId="5" xpath="/Data/Bullet/@id" xmlDataType="integer"/>
    </tableColumn>
    <tableColumn id="3" uniqueName="comment" name="comment" dataDxfId="8">
      <calculatedColumnFormula>VLOOKUP(O2,BulletType!A$1:F$35,2)&amp;VLOOKUP(P2,BulletColor!A$1:C$25,3)</calculatedColumnFormula>
      <xmlColumnPr mapId="5" xpath="/Data/Bullet/@comment" xmlDataType="string"/>
    </tableColumn>
    <tableColumn id="2" uniqueName="spriteName" name="spriteName">
      <calculatedColumnFormula>CONCATENATE("Bullet",INT(A2/10)*10)</calculatedColumnFormula>
      <xmlColumnPr mapId="5" xpath="/Data/Bullet/@spriteName" xmlDataType="string"/>
    </tableColumn>
    <tableColumn id="17" uniqueName="aniFrameCount" name="aniFrameCount" dataDxfId="1">
      <calculatedColumnFormula>VLOOKUP(O2,BulletType!A$2:N50,9)</calculatedColumnFormula>
      <xmlColumnPr mapId="5" xpath="/Data/Bullet/@aniFrameCount" xmlDataType="integer"/>
    </tableColumn>
    <tableColumn id="16" uniqueName="aniFrameInterval" name="aniFrameInterval" dataDxfId="0">
      <calculatedColumnFormula>VLOOKUP(O2,BulletType!A$2:N50,10)</calculatedColumnFormula>
      <xmlColumnPr mapId="5" xpath="/Data/Bullet/@aniFrameInterval" xmlDataType="integer"/>
    </tableColumn>
    <tableColumn id="14" uniqueName="appearEffectName" name="appearEffectName" dataDxfId="7">
      <calculatedColumnFormula>CONCATENATE(VLOOKUP(O2,BulletType!A$2:I$35,8),VLOOKUP(P2,BulletColor!A$2:D$16,4))</calculatedColumnFormula>
      <xmlColumnPr mapId="5" xpath="/Data/Bullet/@appearEffectName" xmlDataType="string"/>
    </tableColumn>
    <tableColumn id="15" uniqueName="size" name="size" dataDxfId="6">
      <calculatedColumnFormula>VLOOKUP(O2,BulletType!A$1:G$35,7)</calculatedColumnFormula>
      <xmlColumnPr mapId="5" xpath="/Data/Bullet/@size" xmlDataType="string"/>
    </tableColumn>
    <tableColumn id="13" uniqueName="materialType" name="materialType" dataDxfId="2">
      <calculatedColumnFormula>INT(Q2)</calculatedColumnFormula>
      <xmlColumnPr mapId="5" xpath="/Data/Bullet/@materialType" xmlDataType="integer"/>
    </tableColumn>
    <tableColumn id="4" uniqueName="isRotatedByVAngle" name="isRotatedByVAngle">
      <calculatedColumnFormula>VLOOKUP(O2,BulletType!A$1:F$35,3)</calculatedColumnFormula>
      <xmlColumnPr mapId="5" xpath="/Data/Bullet/@isRotatedByVAngle" xmlDataType="integer"/>
    </tableColumn>
    <tableColumn id="5" uniqueName="selfRotationAngle" name="selfRotationAngle">
      <calculatedColumnFormula>VLOOKUP(O2,BulletType!A$1:F$35,4)</calculatedColumnFormula>
      <xmlColumnPr mapId="5" xpath="/Data/Bullet/@selfRotationAngle" xmlDataType="integer"/>
    </tableColumn>
    <tableColumn id="6" uniqueName="grazeHalfWidth" name="grazeHalfWidth">
      <calculatedColumnFormula>VLOOKUP(O2,BulletType!A$1:F$35,5)</calculatedColumnFormula>
      <xmlColumnPr mapId="5" xpath="/Data/Bullet/@grazeHalfWidth" xmlDataType="double"/>
    </tableColumn>
    <tableColumn id="7" uniqueName="grazeHalfHeight" name="grazeHalfHeight">
      <calculatedColumnFormula>VLOOKUP(O2,BulletType!A$1:F$35,5)</calculatedColumnFormula>
      <xmlColumnPr mapId="5" xpath="/Data/Bullet/@grazeHalfHeight" xmlDataType="double"/>
    </tableColumn>
    <tableColumn id="8" uniqueName="collisionRadius" name="collisionRadius">
      <calculatedColumnFormula>VLOOKUP(O2,BulletType!A$1:F$35,6)</calculatedColumnFormula>
      <xmlColumnPr mapId="5" xpath="/Data/Bullet/@collisionRadius" xmlDataType="double"/>
    </tableColumn>
    <tableColumn id="9" uniqueName="eliminateColor" name="eliminateColor">
      <calculatedColumnFormula>VLOOKUP(P2,BulletColor!A$2:B25,2)</calculatedColumnFormula>
      <xmlColumnPr mapId="5" xpath="/Data/Bullet/@eliminateColor" xmlDataType="string"/>
    </tableColumn>
    <tableColumn id="10" uniqueName="10" name="bulletType" dataDxfId="5">
      <calculatedColumnFormula>INT(INT((ROW()-2)/2)/16)</calculatedColumnFormula>
    </tableColumn>
    <tableColumn id="11" uniqueName="11" name="bulletColor" dataDxfId="4">
      <calculatedColumnFormula>MOD(INT((ROW()-2)/2),16)</calculatedColumnFormula>
    </tableColumn>
    <tableColumn id="12" uniqueName="12" name="blendMode" dataDxfId="3">
      <calculatedColumnFormula>MOD((ROW()-2),2)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753"/>
  <sheetViews>
    <sheetView tabSelected="1" topLeftCell="A734" workbookViewId="0">
      <selection activeCell="A753" sqref="A753"/>
    </sheetView>
  </sheetViews>
  <sheetFormatPr defaultRowHeight="14.25" x14ac:dyDescent="0.2"/>
  <cols>
    <col min="1" max="1" width="17.5" customWidth="1"/>
    <col min="2" max="2" width="21.625" customWidth="1"/>
    <col min="3" max="3" width="13.5" bestFit="1" customWidth="1"/>
    <col min="4" max="5" width="21.125" customWidth="1"/>
    <col min="6" max="6" width="17.25" customWidth="1"/>
    <col min="7" max="7" width="8.625" bestFit="1" customWidth="1"/>
    <col min="8" max="8" width="14.875" bestFit="1" customWidth="1"/>
    <col min="9" max="9" width="20.625" bestFit="1" customWidth="1"/>
    <col min="10" max="10" width="19.375" bestFit="1" customWidth="1"/>
    <col min="11" max="11" width="17.375" bestFit="1" customWidth="1"/>
    <col min="12" max="12" width="18.125" bestFit="1" customWidth="1"/>
    <col min="13" max="13" width="16.625" bestFit="1" customWidth="1"/>
    <col min="14" max="14" width="16.375" bestFit="1" customWidth="1"/>
    <col min="15" max="15" width="12.5" bestFit="1" customWidth="1"/>
    <col min="16" max="16" width="26.25" customWidth="1"/>
    <col min="17" max="17" width="21.25" customWidth="1"/>
  </cols>
  <sheetData>
    <row r="1" spans="1:17" x14ac:dyDescent="0.2">
      <c r="A1" t="s">
        <v>7</v>
      </c>
      <c r="B1" t="s">
        <v>0</v>
      </c>
      <c r="C1" t="s">
        <v>75</v>
      </c>
      <c r="D1" t="s">
        <v>143</v>
      </c>
      <c r="E1" t="s">
        <v>144</v>
      </c>
      <c r="F1" t="s">
        <v>76</v>
      </c>
      <c r="G1" t="s">
        <v>77</v>
      </c>
      <c r="H1" t="s">
        <v>74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N1" t="s">
        <v>6</v>
      </c>
      <c r="O1" t="s">
        <v>8</v>
      </c>
      <c r="P1" t="s">
        <v>9</v>
      </c>
      <c r="Q1" t="s">
        <v>10</v>
      </c>
    </row>
    <row r="2" spans="1:17" x14ac:dyDescent="0.2">
      <c r="A2" s="1">
        <f>VALUE(CONCATENATE(1,(REPT(0,2-LEN(O2))&amp;O2),REPT(0,2-LEN(P2))&amp;(P2),Q2))</f>
        <v>100000</v>
      </c>
      <c r="B2" s="3" t="str">
        <f>VLOOKUP(O2,BulletType!A$1:F$35,2)&amp;VLOOKUP(P2,BulletColor!A$1:C$25,3)</f>
        <v>点弹灰</v>
      </c>
      <c r="C2" s="3" t="str">
        <f>CONCATENATE("Bullet",INT(A2/10)*10)</f>
        <v>Bullet100000</v>
      </c>
      <c r="D2" s="2">
        <f>VLOOKUP(O2,BulletType!A$2:N50,9)</f>
        <v>0</v>
      </c>
      <c r="E2" s="2">
        <f>VLOOKUP(O2,BulletType!A$2:N50,10)</f>
        <v>0</v>
      </c>
      <c r="F2" s="3" t="str">
        <f>CONCATENATE(VLOOKUP(O2,BulletType!A$2:I$35,8),VLOOKUP(P2,BulletColor!A$2:D$16,4))</f>
        <v>Bullet200000</v>
      </c>
      <c r="G2" s="3" t="str">
        <f>VLOOKUP(O2,BulletType!A$1:G$35,7)</f>
        <v>1.6,0.402</v>
      </c>
      <c r="H2" s="2">
        <f t="shared" ref="H2:H65" si="0">INT(Q2)</f>
        <v>0</v>
      </c>
      <c r="I2">
        <f>VLOOKUP(O2,BulletType!A$1:F$35,3)</f>
        <v>0</v>
      </c>
      <c r="J2">
        <f>VLOOKUP(O2,BulletType!A$1:F$35,4)</f>
        <v>0</v>
      </c>
      <c r="K2">
        <f>VLOOKUP(O2,BulletType!A$1:F$35,5)</f>
        <v>4.8</v>
      </c>
      <c r="L2">
        <f>VLOOKUP(O2,BulletType!A$1:F$35,5)</f>
        <v>4.8</v>
      </c>
      <c r="M2">
        <f>VLOOKUP(O2,BulletType!A$1:F$35,6)</f>
        <v>2.4</v>
      </c>
      <c r="N2" s="3" t="str">
        <f>VLOOKUP(P2,BulletColor!A$2:B25,2)</f>
        <v>0.5,0.5,0.5</v>
      </c>
      <c r="O2">
        <v>0</v>
      </c>
      <c r="P2">
        <v>0</v>
      </c>
      <c r="Q2">
        <f t="shared" ref="Q2:Q8" si="1">MOD((ROW()-2),2)</f>
        <v>0</v>
      </c>
    </row>
    <row r="3" spans="1:17" x14ac:dyDescent="0.2">
      <c r="A3" s="1">
        <f t="shared" ref="A3:A66" si="2">VALUE(CONCATENATE(1,(REPT(0,2-LEN(O3))&amp;O3),REPT(0,2-LEN(P3))&amp;(P3),Q3))</f>
        <v>100001</v>
      </c>
      <c r="B3" s="3" t="str">
        <f>VLOOKUP(O3,BulletType!A$1:F$35,2)&amp;VLOOKUP(P3,BulletColor!A$1:C$25,3)</f>
        <v>点弹灰</v>
      </c>
      <c r="C3" s="3" t="str">
        <f t="shared" ref="C3:C66" si="3">CONCATENATE("Bullet",INT(A3/10)*10)</f>
        <v>Bullet100000</v>
      </c>
      <c r="D3" s="2">
        <f>VLOOKUP(O3,BulletType!A$2:N51,9)</f>
        <v>0</v>
      </c>
      <c r="E3" s="2">
        <f>VLOOKUP(O3,BulletType!A$2:N51,10)</f>
        <v>0</v>
      </c>
      <c r="F3" s="3" t="str">
        <f>CONCATENATE(VLOOKUP(O3,BulletType!A$2:I$35,8),VLOOKUP(P3,BulletColor!A$2:D$16,4))</f>
        <v>Bullet200000</v>
      </c>
      <c r="G3" s="3" t="str">
        <f>VLOOKUP(O3,BulletType!A$1:G$35,7)</f>
        <v>1.6,0.402</v>
      </c>
      <c r="H3" s="2">
        <f t="shared" si="0"/>
        <v>1</v>
      </c>
      <c r="I3">
        <f>VLOOKUP(O3,BulletType!A$1:F$35,3)</f>
        <v>0</v>
      </c>
      <c r="J3">
        <f>VLOOKUP(O3,BulletType!A$1:F$35,4)</f>
        <v>0</v>
      </c>
      <c r="K3">
        <f>VLOOKUP(O3,BulletType!A$1:F$35,5)</f>
        <v>4.8</v>
      </c>
      <c r="L3">
        <f>VLOOKUP(O3,BulletType!A$1:F$35,5)</f>
        <v>4.8</v>
      </c>
      <c r="M3">
        <f>VLOOKUP(O3,BulletType!A$1:F$35,6)</f>
        <v>2.4</v>
      </c>
      <c r="N3" s="3" t="str">
        <f>VLOOKUP(P3,BulletColor!A$2:B26,2)</f>
        <v>0.5,0.5,0.5</v>
      </c>
      <c r="O3">
        <v>0</v>
      </c>
      <c r="P3">
        <v>0</v>
      </c>
      <c r="Q3">
        <f t="shared" si="1"/>
        <v>1</v>
      </c>
    </row>
    <row r="4" spans="1:17" x14ac:dyDescent="0.2">
      <c r="A4" s="1">
        <f t="shared" si="2"/>
        <v>100010</v>
      </c>
      <c r="B4" s="3" t="str">
        <f>VLOOKUP(O4,BulletType!A$1:F$35,2)&amp;VLOOKUP(P4,BulletColor!A$1:C$25,3)</f>
        <v>点弹深红</v>
      </c>
      <c r="C4" s="3" t="str">
        <f t="shared" si="3"/>
        <v>Bullet100010</v>
      </c>
      <c r="D4" s="2">
        <f>VLOOKUP(O4,BulletType!A$2:N52,9)</f>
        <v>0</v>
      </c>
      <c r="E4" s="2">
        <f>VLOOKUP(O4,BulletType!A$2:N52,10)</f>
        <v>0</v>
      </c>
      <c r="F4" s="3" t="str">
        <f>CONCATENATE(VLOOKUP(O4,BulletType!A$2:I$35,8),VLOOKUP(P4,BulletColor!A$2:D$16,4))</f>
        <v>Bullet200010</v>
      </c>
      <c r="G4" s="3" t="str">
        <f>VLOOKUP(O4,BulletType!A$1:G$35,7)</f>
        <v>1.6,0.402</v>
      </c>
      <c r="H4" s="2">
        <f t="shared" si="0"/>
        <v>0</v>
      </c>
      <c r="I4">
        <f>VLOOKUP(O4,BulletType!A$1:F$35,3)</f>
        <v>0</v>
      </c>
      <c r="J4">
        <f>VLOOKUP(O4,BulletType!A$1:F$35,4)</f>
        <v>0</v>
      </c>
      <c r="K4">
        <f>VLOOKUP(O4,BulletType!A$1:F$35,5)</f>
        <v>4.8</v>
      </c>
      <c r="L4">
        <f>VLOOKUP(O4,BulletType!A$1:F$35,5)</f>
        <v>4.8</v>
      </c>
      <c r="M4">
        <f>VLOOKUP(O4,BulletType!A$1:F$35,6)</f>
        <v>2.4</v>
      </c>
      <c r="N4" s="3" t="str">
        <f>VLOOKUP(P4,BulletColor!A$2:B27,2)</f>
        <v>0.625,0.3,0.3</v>
      </c>
      <c r="O4">
        <v>0</v>
      </c>
      <c r="P4">
        <v>1</v>
      </c>
      <c r="Q4">
        <f t="shared" si="1"/>
        <v>0</v>
      </c>
    </row>
    <row r="5" spans="1:17" x14ac:dyDescent="0.2">
      <c r="A5" s="1">
        <f t="shared" si="2"/>
        <v>100011</v>
      </c>
      <c r="B5" s="3" t="str">
        <f>VLOOKUP(O5,BulletType!A$1:F$35,2)&amp;VLOOKUP(P5,BulletColor!A$1:C$25,3)</f>
        <v>点弹深红</v>
      </c>
      <c r="C5" s="3" t="str">
        <f t="shared" si="3"/>
        <v>Bullet100010</v>
      </c>
      <c r="D5" s="2">
        <f>VLOOKUP(O5,BulletType!A$2:N53,9)</f>
        <v>0</v>
      </c>
      <c r="E5" s="2">
        <f>VLOOKUP(O5,BulletType!A$2:N53,10)</f>
        <v>0</v>
      </c>
      <c r="F5" s="3" t="str">
        <f>CONCATENATE(VLOOKUP(O5,BulletType!A$2:I$35,8),VLOOKUP(P5,BulletColor!A$2:D$16,4))</f>
        <v>Bullet200010</v>
      </c>
      <c r="G5" s="3" t="str">
        <f>VLOOKUP(O5,BulletType!A$1:G$35,7)</f>
        <v>1.6,0.402</v>
      </c>
      <c r="H5" s="2">
        <f t="shared" si="0"/>
        <v>1</v>
      </c>
      <c r="I5">
        <f>VLOOKUP(O5,BulletType!A$1:F$35,3)</f>
        <v>0</v>
      </c>
      <c r="J5">
        <f>VLOOKUP(O5,BulletType!A$1:F$35,4)</f>
        <v>0</v>
      </c>
      <c r="K5">
        <f>VLOOKUP(O5,BulletType!A$1:F$35,5)</f>
        <v>4.8</v>
      </c>
      <c r="L5">
        <f>VLOOKUP(O5,BulletType!A$1:F$35,5)</f>
        <v>4.8</v>
      </c>
      <c r="M5">
        <f>VLOOKUP(O5,BulletType!A$1:F$35,6)</f>
        <v>2.4</v>
      </c>
      <c r="N5" s="3" t="str">
        <f>VLOOKUP(P5,BulletColor!A$2:B28,2)</f>
        <v>0.625,0.3,0.3</v>
      </c>
      <c r="O5">
        <v>0</v>
      </c>
      <c r="P5">
        <v>1</v>
      </c>
      <c r="Q5">
        <f t="shared" si="1"/>
        <v>1</v>
      </c>
    </row>
    <row r="6" spans="1:17" x14ac:dyDescent="0.2">
      <c r="A6" s="1">
        <f t="shared" si="2"/>
        <v>100020</v>
      </c>
      <c r="B6" s="3" t="str">
        <f>VLOOKUP(O6,BulletType!A$1:F$35,2)&amp;VLOOKUP(P6,BulletColor!A$1:C$25,3)</f>
        <v>点弹红</v>
      </c>
      <c r="C6" s="3" t="str">
        <f t="shared" si="3"/>
        <v>Bullet100020</v>
      </c>
      <c r="D6" s="2">
        <f>VLOOKUP(O6,BulletType!A$2:N54,9)</f>
        <v>0</v>
      </c>
      <c r="E6" s="2">
        <f>VLOOKUP(O6,BulletType!A$2:N54,10)</f>
        <v>0</v>
      </c>
      <c r="F6" s="3" t="str">
        <f>CONCATENATE(VLOOKUP(O6,BulletType!A$2:I$35,8),VLOOKUP(P6,BulletColor!A$2:D$16,4))</f>
        <v>Bullet200010</v>
      </c>
      <c r="G6" s="3" t="str">
        <f>VLOOKUP(O6,BulletType!A$1:G$35,7)</f>
        <v>1.6,0.402</v>
      </c>
      <c r="H6" s="2">
        <f t="shared" si="0"/>
        <v>0</v>
      </c>
      <c r="I6">
        <f>VLOOKUP(O6,BulletType!A$1:F$35,3)</f>
        <v>0</v>
      </c>
      <c r="J6">
        <f>VLOOKUP(O6,BulletType!A$1:F$35,4)</f>
        <v>0</v>
      </c>
      <c r="K6">
        <f>VLOOKUP(O6,BulletType!A$1:F$35,5)</f>
        <v>4.8</v>
      </c>
      <c r="L6">
        <f>VLOOKUP(O6,BulletType!A$1:F$35,5)</f>
        <v>4.8</v>
      </c>
      <c r="M6">
        <f>VLOOKUP(O6,BulletType!A$1:F$35,6)</f>
        <v>2.4</v>
      </c>
      <c r="N6" s="3" t="str">
        <f>VLOOKUP(P6,BulletColor!A$2:B29,2)</f>
        <v>0.8,0.3,0.3</v>
      </c>
      <c r="O6">
        <v>0</v>
      </c>
      <c r="P6">
        <v>2</v>
      </c>
      <c r="Q6">
        <f t="shared" si="1"/>
        <v>0</v>
      </c>
    </row>
    <row r="7" spans="1:17" x14ac:dyDescent="0.2">
      <c r="A7" s="1">
        <f t="shared" si="2"/>
        <v>100021</v>
      </c>
      <c r="B7" s="3" t="str">
        <f>VLOOKUP(O7,BulletType!A$1:F$35,2)&amp;VLOOKUP(P7,BulletColor!A$1:C$25,3)</f>
        <v>点弹红</v>
      </c>
      <c r="C7" s="3" t="str">
        <f t="shared" si="3"/>
        <v>Bullet100020</v>
      </c>
      <c r="D7" s="2">
        <f>VLOOKUP(O7,BulletType!A$2:N55,9)</f>
        <v>0</v>
      </c>
      <c r="E7" s="2">
        <f>VLOOKUP(O7,BulletType!A$2:N55,10)</f>
        <v>0</v>
      </c>
      <c r="F7" s="3" t="str">
        <f>CONCATENATE(VLOOKUP(O7,BulletType!A$2:I$35,8),VLOOKUP(P7,BulletColor!A$2:D$16,4))</f>
        <v>Bullet200010</v>
      </c>
      <c r="G7" s="3" t="str">
        <f>VLOOKUP(O7,BulletType!A$1:G$35,7)</f>
        <v>1.6,0.402</v>
      </c>
      <c r="H7" s="2">
        <f t="shared" si="0"/>
        <v>1</v>
      </c>
      <c r="I7">
        <f>VLOOKUP(O7,BulletType!A$1:F$35,3)</f>
        <v>0</v>
      </c>
      <c r="J7">
        <f>VLOOKUP(O7,BulletType!A$1:F$35,4)</f>
        <v>0</v>
      </c>
      <c r="K7">
        <f>VLOOKUP(O7,BulletType!A$1:F$35,5)</f>
        <v>4.8</v>
      </c>
      <c r="L7">
        <f>VLOOKUP(O7,BulletType!A$1:F$35,5)</f>
        <v>4.8</v>
      </c>
      <c r="M7">
        <f>VLOOKUP(O7,BulletType!A$1:F$35,6)</f>
        <v>2.4</v>
      </c>
      <c r="N7" s="3" t="str">
        <f>VLOOKUP(P7,BulletColor!A$2:B30,2)</f>
        <v>0.8,0.3,0.3</v>
      </c>
      <c r="O7">
        <v>0</v>
      </c>
      <c r="P7">
        <v>2</v>
      </c>
      <c r="Q7">
        <f t="shared" si="1"/>
        <v>1</v>
      </c>
    </row>
    <row r="8" spans="1:17" x14ac:dyDescent="0.2">
      <c r="A8" s="1">
        <f t="shared" si="2"/>
        <v>100030</v>
      </c>
      <c r="B8" s="3" t="str">
        <f>VLOOKUP(O8,BulletType!A$1:F$35,2)&amp;VLOOKUP(P8,BulletColor!A$1:C$25,3)</f>
        <v>点弹深紫</v>
      </c>
      <c r="C8" s="3" t="str">
        <f t="shared" si="3"/>
        <v>Bullet100030</v>
      </c>
      <c r="D8" s="2">
        <f>VLOOKUP(O8,BulletType!A$2:N56,9)</f>
        <v>0</v>
      </c>
      <c r="E8" s="2">
        <f>VLOOKUP(O8,BulletType!A$2:N56,10)</f>
        <v>0</v>
      </c>
      <c r="F8" s="3" t="str">
        <f>CONCATENATE(VLOOKUP(O8,BulletType!A$2:I$35,8),VLOOKUP(P8,BulletColor!A$2:D$16,4))</f>
        <v>Bullet200030</v>
      </c>
      <c r="G8" s="3" t="str">
        <f>VLOOKUP(O8,BulletType!A$1:G$35,7)</f>
        <v>1.6,0.402</v>
      </c>
      <c r="H8" s="2">
        <f t="shared" si="0"/>
        <v>0</v>
      </c>
      <c r="I8">
        <f>VLOOKUP(O8,BulletType!A$1:F$35,3)</f>
        <v>0</v>
      </c>
      <c r="J8">
        <f>VLOOKUP(O8,BulletType!A$1:F$35,4)</f>
        <v>0</v>
      </c>
      <c r="K8">
        <f>VLOOKUP(O8,BulletType!A$1:F$35,5)</f>
        <v>4.8</v>
      </c>
      <c r="L8">
        <f>VLOOKUP(O8,BulletType!A$1:F$35,5)</f>
        <v>4.8</v>
      </c>
      <c r="M8">
        <f>VLOOKUP(O8,BulletType!A$1:F$35,6)</f>
        <v>2.4</v>
      </c>
      <c r="N8" s="3" t="str">
        <f>VLOOKUP(P8,BulletColor!A$2:B31,2)</f>
        <v>1,0.65,1</v>
      </c>
      <c r="O8">
        <v>0</v>
      </c>
      <c r="P8">
        <v>3</v>
      </c>
      <c r="Q8">
        <f t="shared" si="1"/>
        <v>0</v>
      </c>
    </row>
    <row r="9" spans="1:17" x14ac:dyDescent="0.2">
      <c r="A9" s="1">
        <f t="shared" si="2"/>
        <v>100031</v>
      </c>
      <c r="B9" s="3" t="str">
        <f>VLOOKUP(O9,BulletType!A$1:F$35,2)&amp;VLOOKUP(P9,BulletColor!A$1:C$25,3)</f>
        <v>点弹深紫</v>
      </c>
      <c r="C9" s="3" t="str">
        <f t="shared" si="3"/>
        <v>Bullet100030</v>
      </c>
      <c r="D9" s="2">
        <f>VLOOKUP(O9,BulletType!A$2:N57,9)</f>
        <v>0</v>
      </c>
      <c r="E9" s="2">
        <f>VLOOKUP(O9,BulletType!A$2:N57,10)</f>
        <v>0</v>
      </c>
      <c r="F9" s="3" t="str">
        <f>CONCATENATE(VLOOKUP(O9,BulletType!A$2:I$35,8),VLOOKUP(P9,BulletColor!A$2:D$16,4))</f>
        <v>Bullet200030</v>
      </c>
      <c r="G9" s="3" t="str">
        <f>VLOOKUP(O9,BulletType!A$1:G$35,7)</f>
        <v>1.6,0.402</v>
      </c>
      <c r="H9" s="2">
        <f t="shared" si="0"/>
        <v>1</v>
      </c>
      <c r="I9">
        <f>VLOOKUP(O9,BulletType!A$1:F$35,3)</f>
        <v>0</v>
      </c>
      <c r="J9">
        <f>VLOOKUP(O9,BulletType!A$1:F$35,4)</f>
        <v>0</v>
      </c>
      <c r="K9">
        <f>VLOOKUP(O9,BulletType!A$1:F$35,5)</f>
        <v>4.8</v>
      </c>
      <c r="L9">
        <f>VLOOKUP(O9,BulletType!A$1:F$35,5)</f>
        <v>4.8</v>
      </c>
      <c r="M9">
        <f>VLOOKUP(O9,BulletType!A$1:F$35,6)</f>
        <v>2.4</v>
      </c>
      <c r="N9" s="3" t="str">
        <f>VLOOKUP(P9,BulletColor!A$2:B32,2)</f>
        <v>1,0.65,1</v>
      </c>
      <c r="O9">
        <v>0</v>
      </c>
      <c r="P9" s="2">
        <v>3</v>
      </c>
      <c r="Q9" s="2">
        <f t="shared" ref="Q9:Q72" si="4">MOD((ROW()-2),2)</f>
        <v>1</v>
      </c>
    </row>
    <row r="10" spans="1:17" x14ac:dyDescent="0.2">
      <c r="A10" s="1">
        <f t="shared" si="2"/>
        <v>100040</v>
      </c>
      <c r="B10" s="3" t="str">
        <f>VLOOKUP(O10,BulletType!A$1:F$35,2)&amp;VLOOKUP(P10,BulletColor!A$1:C$25,3)</f>
        <v>点弹紫</v>
      </c>
      <c r="C10" s="3" t="str">
        <f t="shared" si="3"/>
        <v>Bullet100040</v>
      </c>
      <c r="D10" s="2">
        <f>VLOOKUP(O10,BulletType!A$2:N58,9)</f>
        <v>0</v>
      </c>
      <c r="E10" s="2">
        <f>VLOOKUP(O10,BulletType!A$2:N58,10)</f>
        <v>0</v>
      </c>
      <c r="F10" s="3" t="str">
        <f>CONCATENATE(VLOOKUP(O10,BulletType!A$2:I$35,8),VLOOKUP(P10,BulletColor!A$2:D$16,4))</f>
        <v>Bullet200030</v>
      </c>
      <c r="G10" s="3" t="str">
        <f>VLOOKUP(O10,BulletType!A$1:G$35,7)</f>
        <v>1.6,0.402</v>
      </c>
      <c r="H10" s="2">
        <f t="shared" si="0"/>
        <v>0</v>
      </c>
      <c r="I10">
        <f>VLOOKUP(O10,BulletType!A$1:F$35,3)</f>
        <v>0</v>
      </c>
      <c r="J10">
        <f>VLOOKUP(O10,BulletType!A$1:F$35,4)</f>
        <v>0</v>
      </c>
      <c r="K10">
        <f>VLOOKUP(O10,BulletType!A$1:F$35,5)</f>
        <v>4.8</v>
      </c>
      <c r="L10">
        <f>VLOOKUP(O10,BulletType!A$1:F$35,5)</f>
        <v>4.8</v>
      </c>
      <c r="M10">
        <f>VLOOKUP(O10,BulletType!A$1:F$35,6)</f>
        <v>2.4</v>
      </c>
      <c r="N10" s="3" t="str">
        <f>VLOOKUP(P10,BulletColor!A$2:B33,2)</f>
        <v>1,0.65,1</v>
      </c>
      <c r="O10">
        <v>0</v>
      </c>
      <c r="P10" s="2">
        <v>4</v>
      </c>
      <c r="Q10" s="2">
        <f t="shared" si="4"/>
        <v>0</v>
      </c>
    </row>
    <row r="11" spans="1:17" x14ac:dyDescent="0.2">
      <c r="A11" s="1">
        <f t="shared" si="2"/>
        <v>100041</v>
      </c>
      <c r="B11" s="3" t="str">
        <f>VLOOKUP(O11,BulletType!A$1:F$35,2)&amp;VLOOKUP(P11,BulletColor!A$1:C$25,3)</f>
        <v>点弹紫</v>
      </c>
      <c r="C11" s="3" t="str">
        <f t="shared" si="3"/>
        <v>Bullet100040</v>
      </c>
      <c r="D11" s="2">
        <f>VLOOKUP(O11,BulletType!A$2:N59,9)</f>
        <v>0</v>
      </c>
      <c r="E11" s="2">
        <f>VLOOKUP(O11,BulletType!A$2:N59,10)</f>
        <v>0</v>
      </c>
      <c r="F11" s="3" t="str">
        <f>CONCATENATE(VLOOKUP(O11,BulletType!A$2:I$35,8),VLOOKUP(P11,BulletColor!A$2:D$16,4))</f>
        <v>Bullet200030</v>
      </c>
      <c r="G11" s="3" t="str">
        <f>VLOOKUP(O11,BulletType!A$1:G$35,7)</f>
        <v>1.6,0.402</v>
      </c>
      <c r="H11" s="2">
        <f t="shared" si="0"/>
        <v>1</v>
      </c>
      <c r="I11">
        <f>VLOOKUP(O11,BulletType!A$1:F$35,3)</f>
        <v>0</v>
      </c>
      <c r="J11">
        <f>VLOOKUP(O11,BulletType!A$1:F$35,4)</f>
        <v>0</v>
      </c>
      <c r="K11">
        <f>VLOOKUP(O11,BulletType!A$1:F$35,5)</f>
        <v>4.8</v>
      </c>
      <c r="L11">
        <f>VLOOKUP(O11,BulletType!A$1:F$35,5)</f>
        <v>4.8</v>
      </c>
      <c r="M11">
        <f>VLOOKUP(O11,BulletType!A$1:F$35,6)</f>
        <v>2.4</v>
      </c>
      <c r="N11" s="3" t="str">
        <f>VLOOKUP(P11,BulletColor!A$2:B34,2)</f>
        <v>1,0.65,1</v>
      </c>
      <c r="O11">
        <v>0</v>
      </c>
      <c r="P11" s="2">
        <v>4</v>
      </c>
      <c r="Q11" s="2">
        <f t="shared" si="4"/>
        <v>1</v>
      </c>
    </row>
    <row r="12" spans="1:17" x14ac:dyDescent="0.2">
      <c r="A12" s="1">
        <f t="shared" si="2"/>
        <v>100050</v>
      </c>
      <c r="B12" s="3" t="str">
        <f>VLOOKUP(O12,BulletType!A$1:F$35,2)&amp;VLOOKUP(P12,BulletColor!A$1:C$25,3)</f>
        <v>点弹深蓝</v>
      </c>
      <c r="C12" s="3" t="str">
        <f t="shared" si="3"/>
        <v>Bullet100050</v>
      </c>
      <c r="D12" s="2">
        <f>VLOOKUP(O12,BulletType!A$2:N60,9)</f>
        <v>0</v>
      </c>
      <c r="E12" s="2">
        <f>VLOOKUP(O12,BulletType!A$2:N60,10)</f>
        <v>0</v>
      </c>
      <c r="F12" s="3" t="str">
        <f>CONCATENATE(VLOOKUP(O12,BulletType!A$2:I$35,8),VLOOKUP(P12,BulletColor!A$2:D$16,4))</f>
        <v>Bullet200050</v>
      </c>
      <c r="G12" s="3" t="str">
        <f>VLOOKUP(O12,BulletType!A$1:G$35,7)</f>
        <v>1.6,0.402</v>
      </c>
      <c r="H12" s="2">
        <f t="shared" si="0"/>
        <v>0</v>
      </c>
      <c r="I12">
        <f>VLOOKUP(O12,BulletType!A$1:F$35,3)</f>
        <v>0</v>
      </c>
      <c r="J12">
        <f>VLOOKUP(O12,BulletType!A$1:F$35,4)</f>
        <v>0</v>
      </c>
      <c r="K12">
        <f>VLOOKUP(O12,BulletType!A$1:F$35,5)</f>
        <v>4.8</v>
      </c>
      <c r="L12">
        <f>VLOOKUP(O12,BulletType!A$1:F$35,5)</f>
        <v>4.8</v>
      </c>
      <c r="M12">
        <f>VLOOKUP(O12,BulletType!A$1:F$35,6)</f>
        <v>2.4</v>
      </c>
      <c r="N12" s="3" t="str">
        <f>VLOOKUP(P12,BulletColor!A$2:B35,2)</f>
        <v>0,0.1,1</v>
      </c>
      <c r="O12">
        <v>0</v>
      </c>
      <c r="P12" s="2">
        <v>5</v>
      </c>
      <c r="Q12" s="2">
        <f t="shared" si="4"/>
        <v>0</v>
      </c>
    </row>
    <row r="13" spans="1:17" x14ac:dyDescent="0.2">
      <c r="A13" s="1">
        <f t="shared" si="2"/>
        <v>100051</v>
      </c>
      <c r="B13" s="3" t="str">
        <f>VLOOKUP(O13,BulletType!A$1:F$35,2)&amp;VLOOKUP(P13,BulletColor!A$1:C$25,3)</f>
        <v>点弹深蓝</v>
      </c>
      <c r="C13" s="3" t="str">
        <f t="shared" si="3"/>
        <v>Bullet100050</v>
      </c>
      <c r="D13" s="2">
        <f>VLOOKUP(O13,BulletType!A$2:N61,9)</f>
        <v>0</v>
      </c>
      <c r="E13" s="2">
        <f>VLOOKUP(O13,BulletType!A$2:N61,10)</f>
        <v>0</v>
      </c>
      <c r="F13" s="3" t="str">
        <f>CONCATENATE(VLOOKUP(O13,BulletType!A$2:I$35,8),VLOOKUP(P13,BulletColor!A$2:D$16,4))</f>
        <v>Bullet200050</v>
      </c>
      <c r="G13" s="3" t="str">
        <f>VLOOKUP(O13,BulletType!A$1:G$35,7)</f>
        <v>1.6,0.402</v>
      </c>
      <c r="H13" s="2">
        <f t="shared" si="0"/>
        <v>1</v>
      </c>
      <c r="I13">
        <f>VLOOKUP(O13,BulletType!A$1:F$35,3)</f>
        <v>0</v>
      </c>
      <c r="J13">
        <f>VLOOKUP(O13,BulletType!A$1:F$35,4)</f>
        <v>0</v>
      </c>
      <c r="K13">
        <f>VLOOKUP(O13,BulletType!A$1:F$35,5)</f>
        <v>4.8</v>
      </c>
      <c r="L13">
        <f>VLOOKUP(O13,BulletType!A$1:F$35,5)</f>
        <v>4.8</v>
      </c>
      <c r="M13">
        <f>VLOOKUP(O13,BulletType!A$1:F$35,6)</f>
        <v>2.4</v>
      </c>
      <c r="N13" s="3" t="str">
        <f>VLOOKUP(P13,BulletColor!A$2:B36,2)</f>
        <v>0,0.1,1</v>
      </c>
      <c r="O13">
        <v>0</v>
      </c>
      <c r="P13" s="2">
        <v>5</v>
      </c>
      <c r="Q13" s="2">
        <f t="shared" si="4"/>
        <v>1</v>
      </c>
    </row>
    <row r="14" spans="1:17" x14ac:dyDescent="0.2">
      <c r="A14" s="1">
        <f t="shared" si="2"/>
        <v>100060</v>
      </c>
      <c r="B14" s="3" t="str">
        <f>VLOOKUP(O14,BulletType!A$1:F$35,2)&amp;VLOOKUP(P14,BulletColor!A$1:C$25,3)</f>
        <v>点弹蓝</v>
      </c>
      <c r="C14" s="3" t="str">
        <f t="shared" si="3"/>
        <v>Bullet100060</v>
      </c>
      <c r="D14" s="2">
        <f>VLOOKUP(O14,BulletType!A$2:N62,9)</f>
        <v>0</v>
      </c>
      <c r="E14" s="2">
        <f>VLOOKUP(O14,BulletType!A$2:N62,10)</f>
        <v>0</v>
      </c>
      <c r="F14" s="3" t="str">
        <f>CONCATENATE(VLOOKUP(O14,BulletType!A$2:I$35,8),VLOOKUP(P14,BulletColor!A$2:D$16,4))</f>
        <v>Bullet200050</v>
      </c>
      <c r="G14" s="3" t="str">
        <f>VLOOKUP(O14,BulletType!A$1:G$35,7)</f>
        <v>1.6,0.402</v>
      </c>
      <c r="H14" s="2">
        <f t="shared" si="0"/>
        <v>0</v>
      </c>
      <c r="I14">
        <f>VLOOKUP(O14,BulletType!A$1:F$35,3)</f>
        <v>0</v>
      </c>
      <c r="J14">
        <f>VLOOKUP(O14,BulletType!A$1:F$35,4)</f>
        <v>0</v>
      </c>
      <c r="K14">
        <f>VLOOKUP(O14,BulletType!A$1:F$35,5)</f>
        <v>4.8</v>
      </c>
      <c r="L14">
        <f>VLOOKUP(O14,BulletType!A$1:F$35,5)</f>
        <v>4.8</v>
      </c>
      <c r="M14">
        <f>VLOOKUP(O14,BulletType!A$1:F$35,6)</f>
        <v>2.4</v>
      </c>
      <c r="N14" s="3" t="str">
        <f>VLOOKUP(P14,BulletColor!A$2:B37,2)</f>
        <v>0,0.1,1</v>
      </c>
      <c r="O14">
        <v>0</v>
      </c>
      <c r="P14" s="2">
        <v>6</v>
      </c>
      <c r="Q14" s="2">
        <f t="shared" si="4"/>
        <v>0</v>
      </c>
    </row>
    <row r="15" spans="1:17" x14ac:dyDescent="0.2">
      <c r="A15" s="1">
        <f t="shared" si="2"/>
        <v>100061</v>
      </c>
      <c r="B15" s="3" t="str">
        <f>VLOOKUP(O15,BulletType!A$1:F$35,2)&amp;VLOOKUP(P15,BulletColor!A$1:C$25,3)</f>
        <v>点弹蓝</v>
      </c>
      <c r="C15" s="3" t="str">
        <f t="shared" si="3"/>
        <v>Bullet100060</v>
      </c>
      <c r="D15" s="2">
        <f>VLOOKUP(O15,BulletType!A$2:N63,9)</f>
        <v>0</v>
      </c>
      <c r="E15" s="2">
        <f>VLOOKUP(O15,BulletType!A$2:N63,10)</f>
        <v>0</v>
      </c>
      <c r="F15" s="3" t="str">
        <f>CONCATENATE(VLOOKUP(O15,BulletType!A$2:I$35,8),VLOOKUP(P15,BulletColor!A$2:D$16,4))</f>
        <v>Bullet200050</v>
      </c>
      <c r="G15" s="3" t="str">
        <f>VLOOKUP(O15,BulletType!A$1:G$35,7)</f>
        <v>1.6,0.402</v>
      </c>
      <c r="H15" s="2">
        <f t="shared" si="0"/>
        <v>1</v>
      </c>
      <c r="I15">
        <f>VLOOKUP(O15,BulletType!A$1:F$35,3)</f>
        <v>0</v>
      </c>
      <c r="J15">
        <f>VLOOKUP(O15,BulletType!A$1:F$35,4)</f>
        <v>0</v>
      </c>
      <c r="K15">
        <f>VLOOKUP(O15,BulletType!A$1:F$35,5)</f>
        <v>4.8</v>
      </c>
      <c r="L15">
        <f>VLOOKUP(O15,BulletType!A$1:F$35,5)</f>
        <v>4.8</v>
      </c>
      <c r="M15">
        <f>VLOOKUP(O15,BulletType!A$1:F$35,6)</f>
        <v>2.4</v>
      </c>
      <c r="N15" s="3" t="str">
        <f>VLOOKUP(P15,BulletColor!A$2:B38,2)</f>
        <v>0,0.1,1</v>
      </c>
      <c r="O15">
        <v>0</v>
      </c>
      <c r="P15" s="2">
        <v>6</v>
      </c>
      <c r="Q15" s="2">
        <f t="shared" si="4"/>
        <v>1</v>
      </c>
    </row>
    <row r="16" spans="1:17" x14ac:dyDescent="0.2">
      <c r="A16" s="1">
        <f t="shared" si="2"/>
        <v>100070</v>
      </c>
      <c r="B16" s="3" t="str">
        <f>VLOOKUP(O16,BulletType!A$1:F$35,2)&amp;VLOOKUP(P16,BulletColor!A$1:C$25,3)</f>
        <v>点弹深青</v>
      </c>
      <c r="C16" s="3" t="str">
        <f t="shared" si="3"/>
        <v>Bullet100070</v>
      </c>
      <c r="D16" s="2">
        <f>VLOOKUP(O16,BulletType!A$2:N64,9)</f>
        <v>0</v>
      </c>
      <c r="E16" s="2">
        <f>VLOOKUP(O16,BulletType!A$2:N64,10)</f>
        <v>0</v>
      </c>
      <c r="F16" s="3" t="str">
        <f>CONCATENATE(VLOOKUP(O16,BulletType!A$2:I$35,8),VLOOKUP(P16,BulletColor!A$2:D$16,4))</f>
        <v>Bullet200070</v>
      </c>
      <c r="G16" s="3" t="str">
        <f>VLOOKUP(O16,BulletType!A$1:G$35,7)</f>
        <v>1.6,0.402</v>
      </c>
      <c r="H16" s="2">
        <f t="shared" si="0"/>
        <v>0</v>
      </c>
      <c r="I16">
        <f>VLOOKUP(O16,BulletType!A$1:F$35,3)</f>
        <v>0</v>
      </c>
      <c r="J16">
        <f>VLOOKUP(O16,BulletType!A$1:F$35,4)</f>
        <v>0</v>
      </c>
      <c r="K16">
        <f>VLOOKUP(O16,BulletType!A$1:F$35,5)</f>
        <v>4.8</v>
      </c>
      <c r="L16">
        <f>VLOOKUP(O16,BulletType!A$1:F$35,5)</f>
        <v>4.8</v>
      </c>
      <c r="M16">
        <f>VLOOKUP(O16,BulletType!A$1:F$35,6)</f>
        <v>2.4</v>
      </c>
      <c r="N16" s="3" t="str">
        <f>VLOOKUP(P16,BulletColor!A$2:B39,2)</f>
        <v>0.25,1,1</v>
      </c>
      <c r="O16">
        <v>0</v>
      </c>
      <c r="P16" s="2">
        <v>7</v>
      </c>
      <c r="Q16" s="2">
        <f t="shared" si="4"/>
        <v>0</v>
      </c>
    </row>
    <row r="17" spans="1:17" x14ac:dyDescent="0.2">
      <c r="A17" s="1">
        <f t="shared" si="2"/>
        <v>100071</v>
      </c>
      <c r="B17" s="3" t="str">
        <f>VLOOKUP(O17,BulletType!A$1:F$35,2)&amp;VLOOKUP(P17,BulletColor!A$1:C$25,3)</f>
        <v>点弹深青</v>
      </c>
      <c r="C17" s="3" t="str">
        <f t="shared" si="3"/>
        <v>Bullet100070</v>
      </c>
      <c r="D17" s="2">
        <f>VLOOKUP(O17,BulletType!A$2:N65,9)</f>
        <v>0</v>
      </c>
      <c r="E17" s="2">
        <f>VLOOKUP(O17,BulletType!A$2:N65,10)</f>
        <v>0</v>
      </c>
      <c r="F17" s="3" t="str">
        <f>CONCATENATE(VLOOKUP(O17,BulletType!A$2:I$35,8),VLOOKUP(P17,BulletColor!A$2:D$16,4))</f>
        <v>Bullet200070</v>
      </c>
      <c r="G17" s="3" t="str">
        <f>VLOOKUP(O17,BulletType!A$1:G$35,7)</f>
        <v>1.6,0.402</v>
      </c>
      <c r="H17" s="2">
        <f t="shared" si="0"/>
        <v>1</v>
      </c>
      <c r="I17">
        <f>VLOOKUP(O17,BulletType!A$1:F$35,3)</f>
        <v>0</v>
      </c>
      <c r="J17">
        <f>VLOOKUP(O17,BulletType!A$1:F$35,4)</f>
        <v>0</v>
      </c>
      <c r="K17">
        <f>VLOOKUP(O17,BulletType!A$1:F$35,5)</f>
        <v>4.8</v>
      </c>
      <c r="L17">
        <f>VLOOKUP(O17,BulletType!A$1:F$35,5)</f>
        <v>4.8</v>
      </c>
      <c r="M17">
        <f>VLOOKUP(O17,BulletType!A$1:F$35,6)</f>
        <v>2.4</v>
      </c>
      <c r="N17" s="3" t="str">
        <f>VLOOKUP(P17,BulletColor!A$2:B40,2)</f>
        <v>0.25,1,1</v>
      </c>
      <c r="O17">
        <v>0</v>
      </c>
      <c r="P17" s="2">
        <v>7</v>
      </c>
      <c r="Q17" s="2">
        <f t="shared" si="4"/>
        <v>1</v>
      </c>
    </row>
    <row r="18" spans="1:17" x14ac:dyDescent="0.2">
      <c r="A18" s="1">
        <f t="shared" si="2"/>
        <v>100080</v>
      </c>
      <c r="B18" s="3" t="str">
        <f>VLOOKUP(O18,BulletType!A$1:F$35,2)&amp;VLOOKUP(P18,BulletColor!A$1:C$25,3)</f>
        <v>点弹青</v>
      </c>
      <c r="C18" s="3" t="str">
        <f t="shared" si="3"/>
        <v>Bullet100080</v>
      </c>
      <c r="D18" s="2">
        <f>VLOOKUP(O18,BulletType!A$2:N66,9)</f>
        <v>0</v>
      </c>
      <c r="E18" s="2">
        <f>VLOOKUP(O18,BulletType!A$2:N66,10)</f>
        <v>0</v>
      </c>
      <c r="F18" s="3" t="str">
        <f>CONCATENATE(VLOOKUP(O18,BulletType!A$2:I$35,8),VLOOKUP(P18,BulletColor!A$2:D$16,4))</f>
        <v>Bullet200070</v>
      </c>
      <c r="G18" s="3" t="str">
        <f>VLOOKUP(O18,BulletType!A$1:G$35,7)</f>
        <v>1.6,0.402</v>
      </c>
      <c r="H18" s="2">
        <f t="shared" si="0"/>
        <v>0</v>
      </c>
      <c r="I18">
        <f>VLOOKUP(O18,BulletType!A$1:F$35,3)</f>
        <v>0</v>
      </c>
      <c r="J18">
        <f>VLOOKUP(O18,BulletType!A$1:F$35,4)</f>
        <v>0</v>
      </c>
      <c r="K18">
        <f>VLOOKUP(O18,BulletType!A$1:F$35,5)</f>
        <v>4.8</v>
      </c>
      <c r="L18">
        <f>VLOOKUP(O18,BulletType!A$1:F$35,5)</f>
        <v>4.8</v>
      </c>
      <c r="M18">
        <f>VLOOKUP(O18,BulletType!A$1:F$35,6)</f>
        <v>2.4</v>
      </c>
      <c r="N18" s="3" t="str">
        <f>VLOOKUP(P18,BulletColor!A$2:B41,2)</f>
        <v>0.25,1,1</v>
      </c>
      <c r="O18">
        <v>0</v>
      </c>
      <c r="P18" s="2">
        <v>8</v>
      </c>
      <c r="Q18" s="2">
        <f t="shared" si="4"/>
        <v>0</v>
      </c>
    </row>
    <row r="19" spans="1:17" x14ac:dyDescent="0.2">
      <c r="A19" s="1">
        <f t="shared" si="2"/>
        <v>100081</v>
      </c>
      <c r="B19" s="3" t="str">
        <f>VLOOKUP(O19,BulletType!A$1:F$35,2)&amp;VLOOKUP(P19,BulletColor!A$1:C$25,3)</f>
        <v>点弹青</v>
      </c>
      <c r="C19" s="3" t="str">
        <f t="shared" si="3"/>
        <v>Bullet100080</v>
      </c>
      <c r="D19" s="2">
        <f>VLOOKUP(O19,BulletType!A$2:N67,9)</f>
        <v>0</v>
      </c>
      <c r="E19" s="2">
        <f>VLOOKUP(O19,BulletType!A$2:N67,10)</f>
        <v>0</v>
      </c>
      <c r="F19" s="3" t="str">
        <f>CONCATENATE(VLOOKUP(O19,BulletType!A$2:I$35,8),VLOOKUP(P19,BulletColor!A$2:D$16,4))</f>
        <v>Bullet200070</v>
      </c>
      <c r="G19" s="3" t="str">
        <f>VLOOKUP(O19,BulletType!A$1:G$35,7)</f>
        <v>1.6,0.402</v>
      </c>
      <c r="H19" s="2">
        <f t="shared" si="0"/>
        <v>1</v>
      </c>
      <c r="I19">
        <f>VLOOKUP(O19,BulletType!A$1:F$35,3)</f>
        <v>0</v>
      </c>
      <c r="J19">
        <f>VLOOKUP(O19,BulletType!A$1:F$35,4)</f>
        <v>0</v>
      </c>
      <c r="K19">
        <f>VLOOKUP(O19,BulletType!A$1:F$35,5)</f>
        <v>4.8</v>
      </c>
      <c r="L19">
        <f>VLOOKUP(O19,BulletType!A$1:F$35,5)</f>
        <v>4.8</v>
      </c>
      <c r="M19">
        <f>VLOOKUP(O19,BulletType!A$1:F$35,6)</f>
        <v>2.4</v>
      </c>
      <c r="N19" s="3" t="str">
        <f>VLOOKUP(P19,BulletColor!A$2:B42,2)</f>
        <v>0.25,1,1</v>
      </c>
      <c r="O19">
        <v>0</v>
      </c>
      <c r="P19" s="2">
        <v>8</v>
      </c>
      <c r="Q19" s="2">
        <f t="shared" si="4"/>
        <v>1</v>
      </c>
    </row>
    <row r="20" spans="1:17" x14ac:dyDescent="0.2">
      <c r="A20" s="1">
        <f t="shared" si="2"/>
        <v>100090</v>
      </c>
      <c r="B20" s="3" t="str">
        <f>VLOOKUP(O20,BulletType!A$1:F$35,2)&amp;VLOOKUP(P20,BulletColor!A$1:C$25,3)</f>
        <v>点弹深绿</v>
      </c>
      <c r="C20" s="3" t="str">
        <f t="shared" si="3"/>
        <v>Bullet100090</v>
      </c>
      <c r="D20" s="2">
        <f>VLOOKUP(O20,BulletType!A$2:N68,9)</f>
        <v>0</v>
      </c>
      <c r="E20" s="2">
        <f>VLOOKUP(O20,BulletType!A$2:N68,10)</f>
        <v>0</v>
      </c>
      <c r="F20" s="3" t="str">
        <f>CONCATENATE(VLOOKUP(O20,BulletType!A$2:I$35,8),VLOOKUP(P20,BulletColor!A$2:D$16,4))</f>
        <v>Bullet200090</v>
      </c>
      <c r="G20" s="3" t="str">
        <f>VLOOKUP(O20,BulletType!A$1:G$35,7)</f>
        <v>1.6,0.402</v>
      </c>
      <c r="H20" s="2">
        <f t="shared" si="0"/>
        <v>0</v>
      </c>
      <c r="I20">
        <f>VLOOKUP(O20,BulletType!A$1:F$35,3)</f>
        <v>0</v>
      </c>
      <c r="J20">
        <f>VLOOKUP(O20,BulletType!A$1:F$35,4)</f>
        <v>0</v>
      </c>
      <c r="K20">
        <f>VLOOKUP(O20,BulletType!A$1:F$35,5)</f>
        <v>4.8</v>
      </c>
      <c r="L20">
        <f>VLOOKUP(O20,BulletType!A$1:F$35,5)</f>
        <v>4.8</v>
      </c>
      <c r="M20">
        <f>VLOOKUP(O20,BulletType!A$1:F$35,6)</f>
        <v>2.4</v>
      </c>
      <c r="N20" s="3" t="str">
        <f>VLOOKUP(P20,BulletColor!A$2:B43,2)</f>
        <v>0.36,0.78,1</v>
      </c>
      <c r="O20">
        <v>0</v>
      </c>
      <c r="P20" s="2">
        <v>9</v>
      </c>
      <c r="Q20" s="2">
        <f t="shared" si="4"/>
        <v>0</v>
      </c>
    </row>
    <row r="21" spans="1:17" x14ac:dyDescent="0.2">
      <c r="A21" s="1">
        <f t="shared" si="2"/>
        <v>100091</v>
      </c>
      <c r="B21" s="3" t="str">
        <f>VLOOKUP(O21,BulletType!A$1:F$35,2)&amp;VLOOKUP(P21,BulletColor!A$1:C$25,3)</f>
        <v>点弹深绿</v>
      </c>
      <c r="C21" s="3" t="str">
        <f t="shared" si="3"/>
        <v>Bullet100090</v>
      </c>
      <c r="D21" s="2">
        <f>VLOOKUP(O21,BulletType!A$2:N69,9)</f>
        <v>0</v>
      </c>
      <c r="E21" s="2">
        <f>VLOOKUP(O21,BulletType!A$2:N69,10)</f>
        <v>0</v>
      </c>
      <c r="F21" s="3" t="str">
        <f>CONCATENATE(VLOOKUP(O21,BulletType!A$2:I$35,8),VLOOKUP(P21,BulletColor!A$2:D$16,4))</f>
        <v>Bullet200090</v>
      </c>
      <c r="G21" s="3" t="str">
        <f>VLOOKUP(O21,BulletType!A$1:G$35,7)</f>
        <v>1.6,0.402</v>
      </c>
      <c r="H21" s="2">
        <f t="shared" si="0"/>
        <v>1</v>
      </c>
      <c r="I21">
        <f>VLOOKUP(O21,BulletType!A$1:F$35,3)</f>
        <v>0</v>
      </c>
      <c r="J21">
        <f>VLOOKUP(O21,BulletType!A$1:F$35,4)</f>
        <v>0</v>
      </c>
      <c r="K21">
        <f>VLOOKUP(O21,BulletType!A$1:F$35,5)</f>
        <v>4.8</v>
      </c>
      <c r="L21">
        <f>VLOOKUP(O21,BulletType!A$1:F$35,5)</f>
        <v>4.8</v>
      </c>
      <c r="M21">
        <f>VLOOKUP(O21,BulletType!A$1:F$35,6)</f>
        <v>2.4</v>
      </c>
      <c r="N21" s="3" t="str">
        <f>VLOOKUP(P21,BulletColor!A$2:B44,2)</f>
        <v>0.36,0.78,1</v>
      </c>
      <c r="O21">
        <v>0</v>
      </c>
      <c r="P21" s="2">
        <v>9</v>
      </c>
      <c r="Q21" s="2">
        <f t="shared" si="4"/>
        <v>1</v>
      </c>
    </row>
    <row r="22" spans="1:17" x14ac:dyDescent="0.2">
      <c r="A22" s="1">
        <f t="shared" si="2"/>
        <v>100100</v>
      </c>
      <c r="B22" s="3" t="str">
        <f>VLOOKUP(O22,BulletType!A$1:F$35,2)&amp;VLOOKUP(P22,BulletColor!A$1:C$25,3)</f>
        <v>点弹绿</v>
      </c>
      <c r="C22" s="3" t="str">
        <f t="shared" si="3"/>
        <v>Bullet100100</v>
      </c>
      <c r="D22" s="2">
        <f>VLOOKUP(O22,BulletType!A$2:N70,9)</f>
        <v>0</v>
      </c>
      <c r="E22" s="2">
        <f>VLOOKUP(O22,BulletType!A$2:N70,10)</f>
        <v>0</v>
      </c>
      <c r="F22" s="3" t="str">
        <f>CONCATENATE(VLOOKUP(O22,BulletType!A$2:I$35,8),VLOOKUP(P22,BulletColor!A$2:D$16,4))</f>
        <v>Bullet200090</v>
      </c>
      <c r="G22" s="3" t="str">
        <f>VLOOKUP(O22,BulletType!A$1:G$35,7)</f>
        <v>1.6,0.402</v>
      </c>
      <c r="H22" s="2">
        <f t="shared" si="0"/>
        <v>0</v>
      </c>
      <c r="I22">
        <f>VLOOKUP(O22,BulletType!A$1:F$35,3)</f>
        <v>0</v>
      </c>
      <c r="J22">
        <f>VLOOKUP(O22,BulletType!A$1:F$35,4)</f>
        <v>0</v>
      </c>
      <c r="K22">
        <f>VLOOKUP(O22,BulletType!A$1:F$35,5)</f>
        <v>4.8</v>
      </c>
      <c r="L22">
        <f>VLOOKUP(O22,BulletType!A$1:F$35,5)</f>
        <v>4.8</v>
      </c>
      <c r="M22">
        <f>VLOOKUP(O22,BulletType!A$1:F$35,6)</f>
        <v>2.4</v>
      </c>
      <c r="N22" s="3" t="str">
        <f>VLOOKUP(P22,BulletColor!A$2:B45,2)</f>
        <v>0.36,0.78,1</v>
      </c>
      <c r="O22">
        <v>0</v>
      </c>
      <c r="P22" s="2">
        <v>10</v>
      </c>
      <c r="Q22" s="2">
        <f t="shared" si="4"/>
        <v>0</v>
      </c>
    </row>
    <row r="23" spans="1:17" x14ac:dyDescent="0.2">
      <c r="A23" s="1">
        <f t="shared" si="2"/>
        <v>100101</v>
      </c>
      <c r="B23" s="3" t="str">
        <f>VLOOKUP(O23,BulletType!A$1:F$35,2)&amp;VLOOKUP(P23,BulletColor!A$1:C$25,3)</f>
        <v>点弹绿</v>
      </c>
      <c r="C23" s="3" t="str">
        <f t="shared" si="3"/>
        <v>Bullet100100</v>
      </c>
      <c r="D23" s="2">
        <f>VLOOKUP(O23,BulletType!A$2:N71,9)</f>
        <v>0</v>
      </c>
      <c r="E23" s="2">
        <f>VLOOKUP(O23,BulletType!A$2:N71,10)</f>
        <v>0</v>
      </c>
      <c r="F23" s="3" t="str">
        <f>CONCATENATE(VLOOKUP(O23,BulletType!A$2:I$35,8),VLOOKUP(P23,BulletColor!A$2:D$16,4))</f>
        <v>Bullet200090</v>
      </c>
      <c r="G23" s="3" t="str">
        <f>VLOOKUP(O23,BulletType!A$1:G$35,7)</f>
        <v>1.6,0.402</v>
      </c>
      <c r="H23" s="2">
        <f t="shared" si="0"/>
        <v>1</v>
      </c>
      <c r="I23">
        <f>VLOOKUP(O23,BulletType!A$1:F$35,3)</f>
        <v>0</v>
      </c>
      <c r="J23">
        <f>VLOOKUP(O23,BulletType!A$1:F$35,4)</f>
        <v>0</v>
      </c>
      <c r="K23">
        <f>VLOOKUP(O23,BulletType!A$1:F$35,5)</f>
        <v>4.8</v>
      </c>
      <c r="L23">
        <f>VLOOKUP(O23,BulletType!A$1:F$35,5)</f>
        <v>4.8</v>
      </c>
      <c r="M23">
        <f>VLOOKUP(O23,BulletType!A$1:F$35,6)</f>
        <v>2.4</v>
      </c>
      <c r="N23" s="3" t="str">
        <f>VLOOKUP(P23,BulletColor!A$2:B46,2)</f>
        <v>0.36,0.78,1</v>
      </c>
      <c r="O23">
        <v>0</v>
      </c>
      <c r="P23" s="2">
        <v>10</v>
      </c>
      <c r="Q23" s="2">
        <f t="shared" si="4"/>
        <v>1</v>
      </c>
    </row>
    <row r="24" spans="1:17" x14ac:dyDescent="0.2">
      <c r="A24" s="1">
        <f t="shared" si="2"/>
        <v>100110</v>
      </c>
      <c r="B24" s="3" t="str">
        <f>VLOOKUP(O24,BulletType!A$1:F$35,2)&amp;VLOOKUP(P24,BulletColor!A$1:C$25,3)</f>
        <v>点弹黄绿</v>
      </c>
      <c r="C24" s="3" t="str">
        <f t="shared" si="3"/>
        <v>Bullet100110</v>
      </c>
      <c r="D24" s="2">
        <f>VLOOKUP(O24,BulletType!A$2:N72,9)</f>
        <v>0</v>
      </c>
      <c r="E24" s="2">
        <f>VLOOKUP(O24,BulletType!A$2:N72,10)</f>
        <v>0</v>
      </c>
      <c r="F24" s="3" t="str">
        <f>CONCATENATE(VLOOKUP(O24,BulletType!A$2:I$35,8),VLOOKUP(P24,BulletColor!A$2:D$16,4))</f>
        <v>Bullet200090</v>
      </c>
      <c r="G24" s="3" t="str">
        <f>VLOOKUP(O24,BulletType!A$1:G$35,7)</f>
        <v>1.6,0.402</v>
      </c>
      <c r="H24" s="2">
        <f t="shared" si="0"/>
        <v>0</v>
      </c>
      <c r="I24">
        <f>VLOOKUP(O24,BulletType!A$1:F$35,3)</f>
        <v>0</v>
      </c>
      <c r="J24">
        <f>VLOOKUP(O24,BulletType!A$1:F$35,4)</f>
        <v>0</v>
      </c>
      <c r="K24">
        <f>VLOOKUP(O24,BulletType!A$1:F$35,5)</f>
        <v>4.8</v>
      </c>
      <c r="L24">
        <f>VLOOKUP(O24,BulletType!A$1:F$35,5)</f>
        <v>4.8</v>
      </c>
      <c r="M24">
        <f>VLOOKUP(O24,BulletType!A$1:F$35,6)</f>
        <v>2.4</v>
      </c>
      <c r="N24" s="3" t="str">
        <f>VLOOKUP(P24,BulletColor!A$2:B47,2)</f>
        <v>0.9,1,0.4</v>
      </c>
      <c r="O24">
        <v>0</v>
      </c>
      <c r="P24" s="2">
        <v>11</v>
      </c>
      <c r="Q24" s="2">
        <f t="shared" si="4"/>
        <v>0</v>
      </c>
    </row>
    <row r="25" spans="1:17" x14ac:dyDescent="0.2">
      <c r="A25" s="1">
        <f t="shared" si="2"/>
        <v>100111</v>
      </c>
      <c r="B25" s="3" t="str">
        <f>VLOOKUP(O25,BulletType!A$1:F$35,2)&amp;VLOOKUP(P25,BulletColor!A$1:C$25,3)</f>
        <v>点弹黄绿</v>
      </c>
      <c r="C25" s="3" t="str">
        <f t="shared" si="3"/>
        <v>Bullet100110</v>
      </c>
      <c r="D25" s="2">
        <f>VLOOKUP(O25,BulletType!A$2:N73,9)</f>
        <v>0</v>
      </c>
      <c r="E25" s="2">
        <f>VLOOKUP(O25,BulletType!A$2:N73,10)</f>
        <v>0</v>
      </c>
      <c r="F25" s="3" t="str">
        <f>CONCATENATE(VLOOKUP(O25,BulletType!A$2:I$35,8),VLOOKUP(P25,BulletColor!A$2:D$16,4))</f>
        <v>Bullet200090</v>
      </c>
      <c r="G25" s="3" t="str">
        <f>VLOOKUP(O25,BulletType!A$1:G$35,7)</f>
        <v>1.6,0.402</v>
      </c>
      <c r="H25" s="2">
        <f t="shared" si="0"/>
        <v>1</v>
      </c>
      <c r="I25">
        <f>VLOOKUP(O25,BulletType!A$1:F$35,3)</f>
        <v>0</v>
      </c>
      <c r="J25">
        <f>VLOOKUP(O25,BulletType!A$1:F$35,4)</f>
        <v>0</v>
      </c>
      <c r="K25">
        <f>VLOOKUP(O25,BulletType!A$1:F$35,5)</f>
        <v>4.8</v>
      </c>
      <c r="L25">
        <f>VLOOKUP(O25,BulletType!A$1:F$35,5)</f>
        <v>4.8</v>
      </c>
      <c r="M25">
        <f>VLOOKUP(O25,BulletType!A$1:F$35,6)</f>
        <v>2.4</v>
      </c>
      <c r="N25" s="3" t="str">
        <f>VLOOKUP(P25,BulletColor!A$2:B48,2)</f>
        <v>0.9,1,0.4</v>
      </c>
      <c r="O25">
        <v>0</v>
      </c>
      <c r="P25" s="2">
        <v>11</v>
      </c>
      <c r="Q25" s="2">
        <f t="shared" si="4"/>
        <v>1</v>
      </c>
    </row>
    <row r="26" spans="1:17" x14ac:dyDescent="0.2">
      <c r="A26" s="1">
        <f t="shared" si="2"/>
        <v>100120</v>
      </c>
      <c r="B26" s="3" t="str">
        <f>VLOOKUP(O26,BulletType!A$1:F$35,2)&amp;VLOOKUP(P26,BulletColor!A$1:C$25,3)</f>
        <v>点弹深黄</v>
      </c>
      <c r="C26" s="3" t="str">
        <f t="shared" si="3"/>
        <v>Bullet100120</v>
      </c>
      <c r="D26" s="2">
        <f>VLOOKUP(O26,BulletType!A$2:N74,9)</f>
        <v>0</v>
      </c>
      <c r="E26" s="2">
        <f>VLOOKUP(O26,BulletType!A$2:N74,10)</f>
        <v>0</v>
      </c>
      <c r="F26" s="3" t="str">
        <f>CONCATENATE(VLOOKUP(O26,BulletType!A$2:I$35,8),VLOOKUP(P26,BulletColor!A$2:D$16,4))</f>
        <v>Bullet200090</v>
      </c>
      <c r="G26" s="3" t="str">
        <f>VLOOKUP(O26,BulletType!A$1:G$35,7)</f>
        <v>1.6,0.402</v>
      </c>
      <c r="H26" s="2">
        <f t="shared" si="0"/>
        <v>0</v>
      </c>
      <c r="I26">
        <f>VLOOKUP(O26,BulletType!A$1:F$35,3)</f>
        <v>0</v>
      </c>
      <c r="J26">
        <f>VLOOKUP(O26,BulletType!A$1:F$35,4)</f>
        <v>0</v>
      </c>
      <c r="K26">
        <f>VLOOKUP(O26,BulletType!A$1:F$35,5)</f>
        <v>4.8</v>
      </c>
      <c r="L26">
        <f>VLOOKUP(O26,BulletType!A$1:F$35,5)</f>
        <v>4.8</v>
      </c>
      <c r="M26">
        <f>VLOOKUP(O26,BulletType!A$1:F$35,6)</f>
        <v>2.4</v>
      </c>
      <c r="N26" s="3" t="str">
        <f>VLOOKUP(P26,BulletColor!A$2:B49,2)</f>
        <v>0.9,1,0.4</v>
      </c>
      <c r="O26">
        <v>0</v>
      </c>
      <c r="P26" s="2">
        <v>12</v>
      </c>
      <c r="Q26" s="2">
        <f t="shared" si="4"/>
        <v>0</v>
      </c>
    </row>
    <row r="27" spans="1:17" x14ac:dyDescent="0.2">
      <c r="A27" s="1">
        <f t="shared" si="2"/>
        <v>100121</v>
      </c>
      <c r="B27" s="3" t="str">
        <f>VLOOKUP(O27,BulletType!A$1:F$35,2)&amp;VLOOKUP(P27,BulletColor!A$1:C$25,3)</f>
        <v>点弹深黄</v>
      </c>
      <c r="C27" s="3" t="str">
        <f t="shared" si="3"/>
        <v>Bullet100120</v>
      </c>
      <c r="D27" s="2">
        <f>VLOOKUP(O27,BulletType!A$2:N75,9)</f>
        <v>0</v>
      </c>
      <c r="E27" s="2">
        <f>VLOOKUP(O27,BulletType!A$2:N75,10)</f>
        <v>0</v>
      </c>
      <c r="F27" s="3" t="str">
        <f>CONCATENATE(VLOOKUP(O27,BulletType!A$2:I$35,8),VLOOKUP(P27,BulletColor!A$2:D$16,4))</f>
        <v>Bullet200090</v>
      </c>
      <c r="G27" s="3" t="str">
        <f>VLOOKUP(O27,BulletType!A$1:G$35,7)</f>
        <v>1.6,0.402</v>
      </c>
      <c r="H27" s="2">
        <f t="shared" si="0"/>
        <v>1</v>
      </c>
      <c r="I27">
        <f>VLOOKUP(O27,BulletType!A$1:F$35,3)</f>
        <v>0</v>
      </c>
      <c r="J27">
        <f>VLOOKUP(O27,BulletType!A$1:F$35,4)</f>
        <v>0</v>
      </c>
      <c r="K27">
        <f>VLOOKUP(O27,BulletType!A$1:F$35,5)</f>
        <v>4.8</v>
      </c>
      <c r="L27">
        <f>VLOOKUP(O27,BulletType!A$1:F$35,5)</f>
        <v>4.8</v>
      </c>
      <c r="M27">
        <f>VLOOKUP(O27,BulletType!A$1:F$35,6)</f>
        <v>2.4</v>
      </c>
      <c r="N27" s="3" t="str">
        <f>VLOOKUP(P27,BulletColor!A$2:B50,2)</f>
        <v>0.9,1,0.4</v>
      </c>
      <c r="O27">
        <v>0</v>
      </c>
      <c r="P27" s="2">
        <v>12</v>
      </c>
      <c r="Q27" s="2">
        <f t="shared" si="4"/>
        <v>1</v>
      </c>
    </row>
    <row r="28" spans="1:17" x14ac:dyDescent="0.2">
      <c r="A28" s="1">
        <f t="shared" si="2"/>
        <v>100130</v>
      </c>
      <c r="B28" s="3" t="str">
        <f>VLOOKUP(O28,BulletType!A$1:F$35,2)&amp;VLOOKUP(P28,BulletColor!A$1:C$25,3)</f>
        <v>点弹浅黄</v>
      </c>
      <c r="C28" s="3" t="str">
        <f t="shared" si="3"/>
        <v>Bullet100130</v>
      </c>
      <c r="D28" s="2">
        <f>VLOOKUP(O28,BulletType!A$2:N76,9)</f>
        <v>0</v>
      </c>
      <c r="E28" s="2">
        <f>VLOOKUP(O28,BulletType!A$2:N76,10)</f>
        <v>0</v>
      </c>
      <c r="F28" s="3" t="str">
        <f>CONCATENATE(VLOOKUP(O28,BulletType!A$2:I$35,8),VLOOKUP(P28,BulletColor!A$2:D$16,4))</f>
        <v>Bullet200130</v>
      </c>
      <c r="G28" s="3" t="str">
        <f>VLOOKUP(O28,BulletType!A$1:G$35,7)</f>
        <v>1.6,0.402</v>
      </c>
      <c r="H28" s="2">
        <f t="shared" si="0"/>
        <v>0</v>
      </c>
      <c r="I28">
        <f>VLOOKUP(O28,BulletType!A$1:F$35,3)</f>
        <v>0</v>
      </c>
      <c r="J28">
        <f>VLOOKUP(O28,BulletType!A$1:F$35,4)</f>
        <v>0</v>
      </c>
      <c r="K28">
        <f>VLOOKUP(O28,BulletType!A$1:F$35,5)</f>
        <v>4.8</v>
      </c>
      <c r="L28">
        <f>VLOOKUP(O28,BulletType!A$1:F$35,5)</f>
        <v>4.8</v>
      </c>
      <c r="M28">
        <f>VLOOKUP(O28,BulletType!A$1:F$35,6)</f>
        <v>2.4</v>
      </c>
      <c r="N28" s="3" t="str">
        <f>VLOOKUP(P28,BulletColor!A$2:B51,2)</f>
        <v>0.9,1,0.4</v>
      </c>
      <c r="O28">
        <v>0</v>
      </c>
      <c r="P28" s="2">
        <v>13</v>
      </c>
      <c r="Q28" s="2">
        <f t="shared" si="4"/>
        <v>0</v>
      </c>
    </row>
    <row r="29" spans="1:17" x14ac:dyDescent="0.2">
      <c r="A29" s="1">
        <f t="shared" si="2"/>
        <v>100131</v>
      </c>
      <c r="B29" s="3" t="str">
        <f>VLOOKUP(O29,BulletType!A$1:F$35,2)&amp;VLOOKUP(P29,BulletColor!A$1:C$25,3)</f>
        <v>点弹浅黄</v>
      </c>
      <c r="C29" s="3" t="str">
        <f t="shared" si="3"/>
        <v>Bullet100130</v>
      </c>
      <c r="D29" s="2">
        <f>VLOOKUP(O29,BulletType!A$2:N77,9)</f>
        <v>0</v>
      </c>
      <c r="E29" s="2">
        <f>VLOOKUP(O29,BulletType!A$2:N77,10)</f>
        <v>0</v>
      </c>
      <c r="F29" s="3" t="str">
        <f>CONCATENATE(VLOOKUP(O29,BulletType!A$2:I$35,8),VLOOKUP(P29,BulletColor!A$2:D$16,4))</f>
        <v>Bullet200130</v>
      </c>
      <c r="G29" s="3" t="str">
        <f>VLOOKUP(O29,BulletType!A$1:G$35,7)</f>
        <v>1.6,0.402</v>
      </c>
      <c r="H29" s="2">
        <f t="shared" si="0"/>
        <v>1</v>
      </c>
      <c r="I29">
        <f>VLOOKUP(O29,BulletType!A$1:F$35,3)</f>
        <v>0</v>
      </c>
      <c r="J29">
        <f>VLOOKUP(O29,BulletType!A$1:F$35,4)</f>
        <v>0</v>
      </c>
      <c r="K29">
        <f>VLOOKUP(O29,BulletType!A$1:F$35,5)</f>
        <v>4.8</v>
      </c>
      <c r="L29">
        <f>VLOOKUP(O29,BulletType!A$1:F$35,5)</f>
        <v>4.8</v>
      </c>
      <c r="M29">
        <f>VLOOKUP(O29,BulletType!A$1:F$35,6)</f>
        <v>2.4</v>
      </c>
      <c r="N29" s="3" t="str">
        <f>VLOOKUP(P29,BulletColor!A$2:B52,2)</f>
        <v>0.9,1,0.4</v>
      </c>
      <c r="O29">
        <v>0</v>
      </c>
      <c r="P29" s="2">
        <v>13</v>
      </c>
      <c r="Q29" s="2">
        <f t="shared" si="4"/>
        <v>1</v>
      </c>
    </row>
    <row r="30" spans="1:17" x14ac:dyDescent="0.2">
      <c r="A30" s="1">
        <f t="shared" si="2"/>
        <v>100140</v>
      </c>
      <c r="B30" s="3" t="str">
        <f>VLOOKUP(O30,BulletType!A$1:F$35,2)&amp;VLOOKUP(P30,BulletColor!A$1:C$25,3)</f>
        <v>点弹棕黄</v>
      </c>
      <c r="C30" s="3" t="str">
        <f t="shared" si="3"/>
        <v>Bullet100140</v>
      </c>
      <c r="D30" s="2">
        <f>VLOOKUP(O30,BulletType!A$2:N78,9)</f>
        <v>0</v>
      </c>
      <c r="E30" s="2">
        <f>VLOOKUP(O30,BulletType!A$2:N78,10)</f>
        <v>0</v>
      </c>
      <c r="F30" s="3" t="str">
        <f>CONCATENATE(VLOOKUP(O30,BulletType!A$2:I$35,8),VLOOKUP(P30,BulletColor!A$2:D$16,4))</f>
        <v>Bullet200130</v>
      </c>
      <c r="G30" s="3" t="str">
        <f>VLOOKUP(O30,BulletType!A$1:G$35,7)</f>
        <v>1.6,0.402</v>
      </c>
      <c r="H30" s="2">
        <f t="shared" si="0"/>
        <v>0</v>
      </c>
      <c r="I30">
        <f>VLOOKUP(O30,BulletType!A$1:F$35,3)</f>
        <v>0</v>
      </c>
      <c r="J30">
        <f>VLOOKUP(O30,BulletType!A$1:F$35,4)</f>
        <v>0</v>
      </c>
      <c r="K30">
        <f>VLOOKUP(O30,BulletType!A$1:F$35,5)</f>
        <v>4.8</v>
      </c>
      <c r="L30">
        <f>VLOOKUP(O30,BulletType!A$1:F$35,5)</f>
        <v>4.8</v>
      </c>
      <c r="M30">
        <f>VLOOKUP(O30,BulletType!A$1:F$35,6)</f>
        <v>2.4</v>
      </c>
      <c r="N30" s="3" t="str">
        <f>VLOOKUP(P30,BulletColor!A$2:B53,2)</f>
        <v>0.9,1,0.4</v>
      </c>
      <c r="O30">
        <v>0</v>
      </c>
      <c r="P30" s="2">
        <v>14</v>
      </c>
      <c r="Q30" s="2">
        <f t="shared" si="4"/>
        <v>0</v>
      </c>
    </row>
    <row r="31" spans="1:17" x14ac:dyDescent="0.2">
      <c r="A31" s="1">
        <f t="shared" si="2"/>
        <v>100141</v>
      </c>
      <c r="B31" s="3" t="str">
        <f>VLOOKUP(O31,BulletType!A$1:F$35,2)&amp;VLOOKUP(P31,BulletColor!A$1:C$25,3)</f>
        <v>点弹棕黄</v>
      </c>
      <c r="C31" s="3" t="str">
        <f t="shared" si="3"/>
        <v>Bullet100140</v>
      </c>
      <c r="D31" s="2">
        <f>VLOOKUP(O31,BulletType!A$2:N79,9)</f>
        <v>0</v>
      </c>
      <c r="E31" s="2">
        <f>VLOOKUP(O31,BulletType!A$2:N79,10)</f>
        <v>0</v>
      </c>
      <c r="F31" s="3" t="str">
        <f>CONCATENATE(VLOOKUP(O31,BulletType!A$2:I$35,8),VLOOKUP(P31,BulletColor!A$2:D$16,4))</f>
        <v>Bullet200130</v>
      </c>
      <c r="G31" s="3" t="str">
        <f>VLOOKUP(O31,BulletType!A$1:G$35,7)</f>
        <v>1.6,0.402</v>
      </c>
      <c r="H31" s="2">
        <f t="shared" si="0"/>
        <v>1</v>
      </c>
      <c r="I31">
        <f>VLOOKUP(O31,BulletType!A$1:F$35,3)</f>
        <v>0</v>
      </c>
      <c r="J31">
        <f>VLOOKUP(O31,BulletType!A$1:F$35,4)</f>
        <v>0</v>
      </c>
      <c r="K31">
        <f>VLOOKUP(O31,BulletType!A$1:F$35,5)</f>
        <v>4.8</v>
      </c>
      <c r="L31">
        <f>VLOOKUP(O31,BulletType!A$1:F$35,5)</f>
        <v>4.8</v>
      </c>
      <c r="M31">
        <f>VLOOKUP(O31,BulletType!A$1:F$35,6)</f>
        <v>2.4</v>
      </c>
      <c r="N31" s="3" t="str">
        <f>VLOOKUP(P31,BulletColor!A$2:B54,2)</f>
        <v>0.9,1,0.4</v>
      </c>
      <c r="O31">
        <v>0</v>
      </c>
      <c r="P31" s="2">
        <v>14</v>
      </c>
      <c r="Q31" s="2">
        <f t="shared" si="4"/>
        <v>1</v>
      </c>
    </row>
    <row r="32" spans="1:17" x14ac:dyDescent="0.2">
      <c r="A32" s="1">
        <f t="shared" si="2"/>
        <v>100150</v>
      </c>
      <c r="B32" s="3" t="str">
        <f>VLOOKUP(O32,BulletType!A$1:F$35,2)&amp;VLOOKUP(P32,BulletColor!A$1:C$25,3)</f>
        <v>点弹白</v>
      </c>
      <c r="C32" s="3" t="str">
        <f t="shared" si="3"/>
        <v>Bullet100150</v>
      </c>
      <c r="D32" s="2">
        <f>VLOOKUP(O32,BulletType!A$2:N80,9)</f>
        <v>0</v>
      </c>
      <c r="E32" s="2">
        <f>VLOOKUP(O32,BulletType!A$2:N80,10)</f>
        <v>0</v>
      </c>
      <c r="F32" s="3" t="str">
        <f>CONCATENATE(VLOOKUP(O32,BulletType!A$2:I$35,8),VLOOKUP(P32,BulletColor!A$2:D$16,4))</f>
        <v>Bullet200130</v>
      </c>
      <c r="G32" s="3" t="str">
        <f>VLOOKUP(O32,BulletType!A$1:G$35,7)</f>
        <v>1.6,0.402</v>
      </c>
      <c r="H32" s="2">
        <f t="shared" si="0"/>
        <v>0</v>
      </c>
      <c r="I32">
        <f>VLOOKUP(O32,BulletType!A$1:F$35,3)</f>
        <v>0</v>
      </c>
      <c r="J32">
        <f>VLOOKUP(O32,BulletType!A$1:F$35,4)</f>
        <v>0</v>
      </c>
      <c r="K32">
        <f>VLOOKUP(O32,BulletType!A$1:F$35,5)</f>
        <v>4.8</v>
      </c>
      <c r="L32">
        <f>VLOOKUP(O32,BulletType!A$1:F$35,5)</f>
        <v>4.8</v>
      </c>
      <c r="M32">
        <f>VLOOKUP(O32,BulletType!A$1:F$35,6)</f>
        <v>2.4</v>
      </c>
      <c r="N32" s="3" t="str">
        <f>VLOOKUP(P32,BulletColor!A$2:B55,2)</f>
        <v>0.8,0.8,0.8</v>
      </c>
      <c r="O32">
        <v>0</v>
      </c>
      <c r="P32" s="2">
        <v>15</v>
      </c>
      <c r="Q32" s="2">
        <f t="shared" si="4"/>
        <v>0</v>
      </c>
    </row>
    <row r="33" spans="1:17" x14ac:dyDescent="0.2">
      <c r="A33" s="1">
        <f t="shared" si="2"/>
        <v>100151</v>
      </c>
      <c r="B33" s="3" t="str">
        <f>VLOOKUP(O33,BulletType!A$1:F$35,2)&amp;VLOOKUP(P33,BulletColor!A$1:C$25,3)</f>
        <v>点弹白</v>
      </c>
      <c r="C33" s="3" t="str">
        <f t="shared" si="3"/>
        <v>Bullet100150</v>
      </c>
      <c r="D33" s="2">
        <f>VLOOKUP(O33,BulletType!A$2:N81,9)</f>
        <v>0</v>
      </c>
      <c r="E33" s="2">
        <f>VLOOKUP(O33,BulletType!A$2:N81,10)</f>
        <v>0</v>
      </c>
      <c r="F33" s="3" t="str">
        <f>CONCATENATE(VLOOKUP(O33,BulletType!A$2:I$35,8),VLOOKUP(P33,BulletColor!A$2:D$16,4))</f>
        <v>Bullet200130</v>
      </c>
      <c r="G33" s="3" t="str">
        <f>VLOOKUP(O33,BulletType!A$1:G$35,7)</f>
        <v>1.6,0.402</v>
      </c>
      <c r="H33" s="2">
        <f t="shared" si="0"/>
        <v>1</v>
      </c>
      <c r="I33">
        <f>VLOOKUP(O33,BulletType!A$1:F$35,3)</f>
        <v>0</v>
      </c>
      <c r="J33">
        <f>VLOOKUP(O33,BulletType!A$1:F$35,4)</f>
        <v>0</v>
      </c>
      <c r="K33">
        <f>VLOOKUP(O33,BulletType!A$1:F$35,5)</f>
        <v>4.8</v>
      </c>
      <c r="L33">
        <f>VLOOKUP(O33,BulletType!A$1:F$35,5)</f>
        <v>4.8</v>
      </c>
      <c r="M33">
        <f>VLOOKUP(O33,BulletType!A$1:F$35,6)</f>
        <v>2.4</v>
      </c>
      <c r="N33" s="3" t="str">
        <f>VLOOKUP(P33,BulletColor!A$2:B56,2)</f>
        <v>0.8,0.8,0.8</v>
      </c>
      <c r="O33">
        <v>0</v>
      </c>
      <c r="P33" s="2">
        <v>15</v>
      </c>
      <c r="Q33" s="2">
        <f t="shared" si="4"/>
        <v>1</v>
      </c>
    </row>
    <row r="34" spans="1:17" x14ac:dyDescent="0.2">
      <c r="A34" s="1">
        <f t="shared" si="2"/>
        <v>101000</v>
      </c>
      <c r="B34" s="3" t="str">
        <f>VLOOKUP(O34,BulletType!A$1:F$35,2)&amp;VLOOKUP(P34,BulletColor!A$1:C$25,3)</f>
        <v>葡萄弹灰</v>
      </c>
      <c r="C34" s="3" t="str">
        <f t="shared" si="3"/>
        <v>Bullet101000</v>
      </c>
      <c r="D34" s="2">
        <f>VLOOKUP(O34,BulletType!A$2:N82,9)</f>
        <v>0</v>
      </c>
      <c r="E34" s="2">
        <f>VLOOKUP(O34,BulletType!A$2:N82,10)</f>
        <v>0</v>
      </c>
      <c r="F34" s="3" t="str">
        <f>CONCATENATE(VLOOKUP(O34,BulletType!A$2:I$35,8),VLOOKUP(P34,BulletColor!A$2:D$16,4))</f>
        <v>Bullet200000</v>
      </c>
      <c r="G34" s="3" t="str">
        <f>VLOOKUP(O34,BulletType!A$1:G$35,7)</f>
        <v>1.6,0.401</v>
      </c>
      <c r="H34" s="2">
        <f t="shared" si="0"/>
        <v>0</v>
      </c>
      <c r="I34">
        <f>VLOOKUP(O34,BulletType!A$1:F$35,3)</f>
        <v>0</v>
      </c>
      <c r="J34">
        <f>VLOOKUP(O34,BulletType!A$1:F$35,4)</f>
        <v>0</v>
      </c>
      <c r="K34">
        <f>VLOOKUP(O34,BulletType!A$1:F$35,5)</f>
        <v>4.8</v>
      </c>
      <c r="L34">
        <f>VLOOKUP(O34,BulletType!A$1:F$35,5)</f>
        <v>4.8</v>
      </c>
      <c r="M34">
        <f>VLOOKUP(O34,BulletType!A$1:F$35,6)</f>
        <v>2.4</v>
      </c>
      <c r="N34" s="3" t="str">
        <f>VLOOKUP(P34,BulletColor!A$2:B57,2)</f>
        <v>0.5,0.5,0.5</v>
      </c>
      <c r="O34">
        <v>1</v>
      </c>
      <c r="P34" s="2">
        <v>0</v>
      </c>
      <c r="Q34" s="2">
        <f t="shared" si="4"/>
        <v>0</v>
      </c>
    </row>
    <row r="35" spans="1:17" x14ac:dyDescent="0.2">
      <c r="A35" s="1">
        <f t="shared" si="2"/>
        <v>101001</v>
      </c>
      <c r="B35" s="3" t="str">
        <f>VLOOKUP(O35,BulletType!A$1:F$35,2)&amp;VLOOKUP(P35,BulletColor!A$1:C$25,3)</f>
        <v>葡萄弹灰</v>
      </c>
      <c r="C35" s="3" t="str">
        <f t="shared" si="3"/>
        <v>Bullet101000</v>
      </c>
      <c r="D35" s="2">
        <f>VLOOKUP(O35,BulletType!A$2:N83,9)</f>
        <v>0</v>
      </c>
      <c r="E35" s="2">
        <f>VLOOKUP(O35,BulletType!A$2:N83,10)</f>
        <v>0</v>
      </c>
      <c r="F35" s="3" t="str">
        <f>CONCATENATE(VLOOKUP(O35,BulletType!A$2:I$35,8),VLOOKUP(P35,BulletColor!A$2:D$16,4))</f>
        <v>Bullet200000</v>
      </c>
      <c r="G35" s="3" t="str">
        <f>VLOOKUP(O35,BulletType!A$1:G$35,7)</f>
        <v>1.6,0.401</v>
      </c>
      <c r="H35" s="2">
        <f t="shared" si="0"/>
        <v>1</v>
      </c>
      <c r="I35">
        <f>VLOOKUP(O35,BulletType!A$1:F$35,3)</f>
        <v>0</v>
      </c>
      <c r="J35">
        <f>VLOOKUP(O35,BulletType!A$1:F$35,4)</f>
        <v>0</v>
      </c>
      <c r="K35">
        <f>VLOOKUP(O35,BulletType!A$1:F$35,5)</f>
        <v>4.8</v>
      </c>
      <c r="L35">
        <f>VLOOKUP(O35,BulletType!A$1:F$35,5)</f>
        <v>4.8</v>
      </c>
      <c r="M35">
        <f>VLOOKUP(O35,BulletType!A$1:F$35,6)</f>
        <v>2.4</v>
      </c>
      <c r="N35" s="3" t="str">
        <f>VLOOKUP(P35,BulletColor!A$2:B58,2)</f>
        <v>0.5,0.5,0.5</v>
      </c>
      <c r="O35">
        <v>1</v>
      </c>
      <c r="P35" s="2">
        <v>0</v>
      </c>
      <c r="Q35" s="2">
        <f t="shared" si="4"/>
        <v>1</v>
      </c>
    </row>
    <row r="36" spans="1:17" x14ac:dyDescent="0.2">
      <c r="A36" s="1">
        <f t="shared" si="2"/>
        <v>101010</v>
      </c>
      <c r="B36" s="3" t="str">
        <f>VLOOKUP(O36,BulletType!A$1:F$35,2)&amp;VLOOKUP(P36,BulletColor!A$1:C$25,3)</f>
        <v>葡萄弹深红</v>
      </c>
      <c r="C36" s="3" t="str">
        <f t="shared" si="3"/>
        <v>Bullet101010</v>
      </c>
      <c r="D36" s="2">
        <f>VLOOKUP(O36,BulletType!A$2:N84,9)</f>
        <v>0</v>
      </c>
      <c r="E36" s="2">
        <f>VLOOKUP(O36,BulletType!A$2:N84,10)</f>
        <v>0</v>
      </c>
      <c r="F36" s="3" t="str">
        <f>CONCATENATE(VLOOKUP(O36,BulletType!A$2:I$35,8),VLOOKUP(P36,BulletColor!A$2:D$16,4))</f>
        <v>Bullet200010</v>
      </c>
      <c r="G36" s="3" t="str">
        <f>VLOOKUP(O36,BulletType!A$1:G$35,7)</f>
        <v>1.6,0.401</v>
      </c>
      <c r="H36" s="2">
        <f t="shared" si="0"/>
        <v>0</v>
      </c>
      <c r="I36">
        <f>VLOOKUP(O36,BulletType!A$1:F$35,3)</f>
        <v>0</v>
      </c>
      <c r="J36">
        <f>VLOOKUP(O36,BulletType!A$1:F$35,4)</f>
        <v>0</v>
      </c>
      <c r="K36">
        <f>VLOOKUP(O36,BulletType!A$1:F$35,5)</f>
        <v>4.8</v>
      </c>
      <c r="L36">
        <f>VLOOKUP(O36,BulletType!A$1:F$35,5)</f>
        <v>4.8</v>
      </c>
      <c r="M36">
        <f>VLOOKUP(O36,BulletType!A$1:F$35,6)</f>
        <v>2.4</v>
      </c>
      <c r="N36" s="3" t="str">
        <f>VLOOKUP(P36,BulletColor!A$2:B59,2)</f>
        <v>0.625,0.3,0.3</v>
      </c>
      <c r="O36">
        <v>1</v>
      </c>
      <c r="P36" s="2">
        <v>1</v>
      </c>
      <c r="Q36" s="2">
        <f t="shared" si="4"/>
        <v>0</v>
      </c>
    </row>
    <row r="37" spans="1:17" x14ac:dyDescent="0.2">
      <c r="A37" s="1">
        <f t="shared" si="2"/>
        <v>101011</v>
      </c>
      <c r="B37" s="3" t="str">
        <f>VLOOKUP(O37,BulletType!A$1:F$35,2)&amp;VLOOKUP(P37,BulletColor!A$1:C$25,3)</f>
        <v>葡萄弹深红</v>
      </c>
      <c r="C37" s="3" t="str">
        <f t="shared" si="3"/>
        <v>Bullet101010</v>
      </c>
      <c r="D37" s="2">
        <f>VLOOKUP(O37,BulletType!A$2:N85,9)</f>
        <v>0</v>
      </c>
      <c r="E37" s="2">
        <f>VLOOKUP(O37,BulletType!A$2:N85,10)</f>
        <v>0</v>
      </c>
      <c r="F37" s="3" t="str">
        <f>CONCATENATE(VLOOKUP(O37,BulletType!A$2:I$35,8),VLOOKUP(P37,BulletColor!A$2:D$16,4))</f>
        <v>Bullet200010</v>
      </c>
      <c r="G37" s="3" t="str">
        <f>VLOOKUP(O37,BulletType!A$1:G$35,7)</f>
        <v>1.6,0.401</v>
      </c>
      <c r="H37" s="2">
        <f t="shared" si="0"/>
        <v>1</v>
      </c>
      <c r="I37">
        <f>VLOOKUP(O37,BulletType!A$1:F$35,3)</f>
        <v>0</v>
      </c>
      <c r="J37">
        <f>VLOOKUP(O37,BulletType!A$1:F$35,4)</f>
        <v>0</v>
      </c>
      <c r="K37">
        <f>VLOOKUP(O37,BulletType!A$1:F$35,5)</f>
        <v>4.8</v>
      </c>
      <c r="L37">
        <f>VLOOKUP(O37,BulletType!A$1:F$35,5)</f>
        <v>4.8</v>
      </c>
      <c r="M37">
        <f>VLOOKUP(O37,BulletType!A$1:F$35,6)</f>
        <v>2.4</v>
      </c>
      <c r="N37" s="3" t="str">
        <f>VLOOKUP(P37,BulletColor!A$2:B60,2)</f>
        <v>0.625,0.3,0.3</v>
      </c>
      <c r="O37">
        <v>1</v>
      </c>
      <c r="P37" s="2">
        <v>1</v>
      </c>
      <c r="Q37" s="2">
        <f t="shared" si="4"/>
        <v>1</v>
      </c>
    </row>
    <row r="38" spans="1:17" x14ac:dyDescent="0.2">
      <c r="A38" s="1">
        <f t="shared" si="2"/>
        <v>101020</v>
      </c>
      <c r="B38" s="3" t="str">
        <f>VLOOKUP(O38,BulletType!A$1:F$35,2)&amp;VLOOKUP(P38,BulletColor!A$1:C$25,3)</f>
        <v>葡萄弹红</v>
      </c>
      <c r="C38" s="3" t="str">
        <f t="shared" si="3"/>
        <v>Bullet101020</v>
      </c>
      <c r="D38" s="2">
        <f>VLOOKUP(O38,BulletType!A$2:N86,9)</f>
        <v>0</v>
      </c>
      <c r="E38" s="2">
        <f>VLOOKUP(O38,BulletType!A$2:N86,10)</f>
        <v>0</v>
      </c>
      <c r="F38" s="3" t="str">
        <f>CONCATENATE(VLOOKUP(O38,BulletType!A$2:I$35,8),VLOOKUP(P38,BulletColor!A$2:D$16,4))</f>
        <v>Bullet200010</v>
      </c>
      <c r="G38" s="3" t="str">
        <f>VLOOKUP(O38,BulletType!A$1:G$35,7)</f>
        <v>1.6,0.401</v>
      </c>
      <c r="H38" s="2">
        <f t="shared" si="0"/>
        <v>0</v>
      </c>
      <c r="I38">
        <f>VLOOKUP(O38,BulletType!A$1:F$35,3)</f>
        <v>0</v>
      </c>
      <c r="J38">
        <f>VLOOKUP(O38,BulletType!A$1:F$35,4)</f>
        <v>0</v>
      </c>
      <c r="K38">
        <f>VLOOKUP(O38,BulletType!A$1:F$35,5)</f>
        <v>4.8</v>
      </c>
      <c r="L38">
        <f>VLOOKUP(O38,BulletType!A$1:F$35,5)</f>
        <v>4.8</v>
      </c>
      <c r="M38">
        <f>VLOOKUP(O38,BulletType!A$1:F$35,6)</f>
        <v>2.4</v>
      </c>
      <c r="N38" s="3" t="str">
        <f>VLOOKUP(P38,BulletColor!A$2:B61,2)</f>
        <v>0.8,0.3,0.3</v>
      </c>
      <c r="O38">
        <v>1</v>
      </c>
      <c r="P38" s="2">
        <v>2</v>
      </c>
      <c r="Q38" s="2">
        <f t="shared" si="4"/>
        <v>0</v>
      </c>
    </row>
    <row r="39" spans="1:17" x14ac:dyDescent="0.2">
      <c r="A39" s="1">
        <f t="shared" si="2"/>
        <v>101021</v>
      </c>
      <c r="B39" s="3" t="str">
        <f>VLOOKUP(O39,BulletType!A$1:F$35,2)&amp;VLOOKUP(P39,BulletColor!A$1:C$25,3)</f>
        <v>葡萄弹红</v>
      </c>
      <c r="C39" s="3" t="str">
        <f t="shared" si="3"/>
        <v>Bullet101020</v>
      </c>
      <c r="D39" s="2">
        <f>VLOOKUP(O39,BulletType!A$2:N87,9)</f>
        <v>0</v>
      </c>
      <c r="E39" s="2">
        <f>VLOOKUP(O39,BulletType!A$2:N87,10)</f>
        <v>0</v>
      </c>
      <c r="F39" s="3" t="str">
        <f>CONCATENATE(VLOOKUP(O39,BulletType!A$2:I$35,8),VLOOKUP(P39,BulletColor!A$2:D$16,4))</f>
        <v>Bullet200010</v>
      </c>
      <c r="G39" s="3" t="str">
        <f>VLOOKUP(O39,BulletType!A$1:G$35,7)</f>
        <v>1.6,0.401</v>
      </c>
      <c r="H39" s="2">
        <f t="shared" si="0"/>
        <v>1</v>
      </c>
      <c r="I39">
        <f>VLOOKUP(O39,BulletType!A$1:F$35,3)</f>
        <v>0</v>
      </c>
      <c r="J39">
        <f>VLOOKUP(O39,BulletType!A$1:F$35,4)</f>
        <v>0</v>
      </c>
      <c r="K39">
        <f>VLOOKUP(O39,BulletType!A$1:F$35,5)</f>
        <v>4.8</v>
      </c>
      <c r="L39">
        <f>VLOOKUP(O39,BulletType!A$1:F$35,5)</f>
        <v>4.8</v>
      </c>
      <c r="M39">
        <f>VLOOKUP(O39,BulletType!A$1:F$35,6)</f>
        <v>2.4</v>
      </c>
      <c r="N39" s="3" t="str">
        <f>VLOOKUP(P39,BulletColor!A$2:B62,2)</f>
        <v>0.8,0.3,0.3</v>
      </c>
      <c r="O39">
        <v>1</v>
      </c>
      <c r="P39" s="2">
        <v>2</v>
      </c>
      <c r="Q39" s="2">
        <f t="shared" si="4"/>
        <v>1</v>
      </c>
    </row>
    <row r="40" spans="1:17" x14ac:dyDescent="0.2">
      <c r="A40" s="1">
        <f t="shared" si="2"/>
        <v>101030</v>
      </c>
      <c r="B40" s="3" t="str">
        <f>VLOOKUP(O40,BulletType!A$1:F$35,2)&amp;VLOOKUP(P40,BulletColor!A$1:C$25,3)</f>
        <v>葡萄弹深紫</v>
      </c>
      <c r="C40" s="3" t="str">
        <f t="shared" si="3"/>
        <v>Bullet101030</v>
      </c>
      <c r="D40" s="2">
        <f>VLOOKUP(O40,BulletType!A$2:N88,9)</f>
        <v>0</v>
      </c>
      <c r="E40" s="2">
        <f>VLOOKUP(O40,BulletType!A$2:N88,10)</f>
        <v>0</v>
      </c>
      <c r="F40" s="3" t="str">
        <f>CONCATENATE(VLOOKUP(O40,BulletType!A$2:I$35,8),VLOOKUP(P40,BulletColor!A$2:D$16,4))</f>
        <v>Bullet200030</v>
      </c>
      <c r="G40" s="3" t="str">
        <f>VLOOKUP(O40,BulletType!A$1:G$35,7)</f>
        <v>1.6,0.401</v>
      </c>
      <c r="H40" s="2">
        <f t="shared" si="0"/>
        <v>0</v>
      </c>
      <c r="I40">
        <f>VLOOKUP(O40,BulletType!A$1:F$35,3)</f>
        <v>0</v>
      </c>
      <c r="J40">
        <f>VLOOKUP(O40,BulletType!A$1:F$35,4)</f>
        <v>0</v>
      </c>
      <c r="K40">
        <f>VLOOKUP(O40,BulletType!A$1:F$35,5)</f>
        <v>4.8</v>
      </c>
      <c r="L40">
        <f>VLOOKUP(O40,BulletType!A$1:F$35,5)</f>
        <v>4.8</v>
      </c>
      <c r="M40">
        <f>VLOOKUP(O40,BulletType!A$1:F$35,6)</f>
        <v>2.4</v>
      </c>
      <c r="N40" s="3" t="str">
        <f>VLOOKUP(P40,BulletColor!A$2:B63,2)</f>
        <v>1,0.65,1</v>
      </c>
      <c r="O40">
        <v>1</v>
      </c>
      <c r="P40" s="2">
        <v>3</v>
      </c>
      <c r="Q40" s="2">
        <f t="shared" si="4"/>
        <v>0</v>
      </c>
    </row>
    <row r="41" spans="1:17" x14ac:dyDescent="0.2">
      <c r="A41" s="1">
        <f t="shared" si="2"/>
        <v>101031</v>
      </c>
      <c r="B41" s="3" t="str">
        <f>VLOOKUP(O41,BulletType!A$1:F$35,2)&amp;VLOOKUP(P41,BulletColor!A$1:C$25,3)</f>
        <v>葡萄弹深紫</v>
      </c>
      <c r="C41" s="3" t="str">
        <f t="shared" si="3"/>
        <v>Bullet101030</v>
      </c>
      <c r="D41" s="2">
        <f>VLOOKUP(O41,BulletType!A$2:N89,9)</f>
        <v>0</v>
      </c>
      <c r="E41" s="2">
        <f>VLOOKUP(O41,BulletType!A$2:N89,10)</f>
        <v>0</v>
      </c>
      <c r="F41" s="3" t="str">
        <f>CONCATENATE(VLOOKUP(O41,BulletType!A$2:I$35,8),VLOOKUP(P41,BulletColor!A$2:D$16,4))</f>
        <v>Bullet200030</v>
      </c>
      <c r="G41" s="3" t="str">
        <f>VLOOKUP(O41,BulletType!A$1:G$35,7)</f>
        <v>1.6,0.401</v>
      </c>
      <c r="H41" s="2">
        <f t="shared" si="0"/>
        <v>1</v>
      </c>
      <c r="I41">
        <f>VLOOKUP(O41,BulletType!A$1:F$35,3)</f>
        <v>0</v>
      </c>
      <c r="J41">
        <f>VLOOKUP(O41,BulletType!A$1:F$35,4)</f>
        <v>0</v>
      </c>
      <c r="K41">
        <f>VLOOKUP(O41,BulletType!A$1:F$35,5)</f>
        <v>4.8</v>
      </c>
      <c r="L41">
        <f>VLOOKUP(O41,BulletType!A$1:F$35,5)</f>
        <v>4.8</v>
      </c>
      <c r="M41">
        <f>VLOOKUP(O41,BulletType!A$1:F$35,6)</f>
        <v>2.4</v>
      </c>
      <c r="N41" s="3" t="str">
        <f>VLOOKUP(P41,BulletColor!A$2:B64,2)</f>
        <v>1,0.65,1</v>
      </c>
      <c r="O41">
        <v>1</v>
      </c>
      <c r="P41" s="2">
        <v>3</v>
      </c>
      <c r="Q41" s="2">
        <f t="shared" si="4"/>
        <v>1</v>
      </c>
    </row>
    <row r="42" spans="1:17" x14ac:dyDescent="0.2">
      <c r="A42" s="1">
        <f t="shared" si="2"/>
        <v>101040</v>
      </c>
      <c r="B42" s="3" t="str">
        <f>VLOOKUP(O42,BulletType!A$1:F$35,2)&amp;VLOOKUP(P42,BulletColor!A$1:C$25,3)</f>
        <v>葡萄弹紫</v>
      </c>
      <c r="C42" s="3" t="str">
        <f t="shared" si="3"/>
        <v>Bullet101040</v>
      </c>
      <c r="D42" s="2">
        <f>VLOOKUP(O42,BulletType!A$2:N90,9)</f>
        <v>0</v>
      </c>
      <c r="E42" s="2">
        <f>VLOOKUP(O42,BulletType!A$2:N90,10)</f>
        <v>0</v>
      </c>
      <c r="F42" s="3" t="str">
        <f>CONCATENATE(VLOOKUP(O42,BulletType!A$2:I$35,8),VLOOKUP(P42,BulletColor!A$2:D$16,4))</f>
        <v>Bullet200030</v>
      </c>
      <c r="G42" s="3" t="str">
        <f>VLOOKUP(O42,BulletType!A$1:G$35,7)</f>
        <v>1.6,0.401</v>
      </c>
      <c r="H42" s="2">
        <f t="shared" si="0"/>
        <v>0</v>
      </c>
      <c r="I42">
        <f>VLOOKUP(O42,BulletType!A$1:F$35,3)</f>
        <v>0</v>
      </c>
      <c r="J42">
        <f>VLOOKUP(O42,BulletType!A$1:F$35,4)</f>
        <v>0</v>
      </c>
      <c r="K42">
        <f>VLOOKUP(O42,BulletType!A$1:F$35,5)</f>
        <v>4.8</v>
      </c>
      <c r="L42">
        <f>VLOOKUP(O42,BulletType!A$1:F$35,5)</f>
        <v>4.8</v>
      </c>
      <c r="M42">
        <f>VLOOKUP(O42,BulletType!A$1:F$35,6)</f>
        <v>2.4</v>
      </c>
      <c r="N42" s="3" t="str">
        <f>VLOOKUP(P42,BulletColor!A$2:B65,2)</f>
        <v>1,0.65,1</v>
      </c>
      <c r="O42">
        <v>1</v>
      </c>
      <c r="P42" s="2">
        <v>4</v>
      </c>
      <c r="Q42" s="2">
        <f t="shared" si="4"/>
        <v>0</v>
      </c>
    </row>
    <row r="43" spans="1:17" x14ac:dyDescent="0.2">
      <c r="A43" s="1">
        <f t="shared" si="2"/>
        <v>101041</v>
      </c>
      <c r="B43" s="3" t="str">
        <f>VLOOKUP(O43,BulletType!A$1:F$35,2)&amp;VLOOKUP(P43,BulletColor!A$1:C$25,3)</f>
        <v>葡萄弹紫</v>
      </c>
      <c r="C43" s="3" t="str">
        <f t="shared" si="3"/>
        <v>Bullet101040</v>
      </c>
      <c r="D43" s="2">
        <f>VLOOKUP(O43,BulletType!A$2:N91,9)</f>
        <v>0</v>
      </c>
      <c r="E43" s="2">
        <f>VLOOKUP(O43,BulletType!A$2:N91,10)</f>
        <v>0</v>
      </c>
      <c r="F43" s="3" t="str">
        <f>CONCATENATE(VLOOKUP(O43,BulletType!A$2:I$35,8),VLOOKUP(P43,BulletColor!A$2:D$16,4))</f>
        <v>Bullet200030</v>
      </c>
      <c r="G43" s="3" t="str">
        <f>VLOOKUP(O43,BulletType!A$1:G$35,7)</f>
        <v>1.6,0.401</v>
      </c>
      <c r="H43" s="2">
        <f t="shared" si="0"/>
        <v>1</v>
      </c>
      <c r="I43">
        <f>VLOOKUP(O43,BulletType!A$1:F$35,3)</f>
        <v>0</v>
      </c>
      <c r="J43">
        <f>VLOOKUP(O43,BulletType!A$1:F$35,4)</f>
        <v>0</v>
      </c>
      <c r="K43">
        <f>VLOOKUP(O43,BulletType!A$1:F$35,5)</f>
        <v>4.8</v>
      </c>
      <c r="L43">
        <f>VLOOKUP(O43,BulletType!A$1:F$35,5)</f>
        <v>4.8</v>
      </c>
      <c r="M43">
        <f>VLOOKUP(O43,BulletType!A$1:F$35,6)</f>
        <v>2.4</v>
      </c>
      <c r="N43" s="3" t="str">
        <f>VLOOKUP(P43,BulletColor!A$2:B66,2)</f>
        <v>1,0.65,1</v>
      </c>
      <c r="O43">
        <v>1</v>
      </c>
      <c r="P43" s="2">
        <v>4</v>
      </c>
      <c r="Q43" s="2">
        <f t="shared" si="4"/>
        <v>1</v>
      </c>
    </row>
    <row r="44" spans="1:17" x14ac:dyDescent="0.2">
      <c r="A44" s="1">
        <f t="shared" si="2"/>
        <v>101050</v>
      </c>
      <c r="B44" s="3" t="str">
        <f>VLOOKUP(O44,BulletType!A$1:F$35,2)&amp;VLOOKUP(P44,BulletColor!A$1:C$25,3)</f>
        <v>葡萄弹深蓝</v>
      </c>
      <c r="C44" s="3" t="str">
        <f t="shared" si="3"/>
        <v>Bullet101050</v>
      </c>
      <c r="D44" s="2">
        <f>VLOOKUP(O44,BulletType!A$2:N92,9)</f>
        <v>0</v>
      </c>
      <c r="E44" s="2">
        <f>VLOOKUP(O44,BulletType!A$2:N92,10)</f>
        <v>0</v>
      </c>
      <c r="F44" s="3" t="str">
        <f>CONCATENATE(VLOOKUP(O44,BulletType!A$2:I$35,8),VLOOKUP(P44,BulletColor!A$2:D$16,4))</f>
        <v>Bullet200050</v>
      </c>
      <c r="G44" s="3" t="str">
        <f>VLOOKUP(O44,BulletType!A$1:G$35,7)</f>
        <v>1.6,0.401</v>
      </c>
      <c r="H44" s="2">
        <f t="shared" si="0"/>
        <v>0</v>
      </c>
      <c r="I44">
        <f>VLOOKUP(O44,BulletType!A$1:F$35,3)</f>
        <v>0</v>
      </c>
      <c r="J44">
        <f>VLOOKUP(O44,BulletType!A$1:F$35,4)</f>
        <v>0</v>
      </c>
      <c r="K44">
        <f>VLOOKUP(O44,BulletType!A$1:F$35,5)</f>
        <v>4.8</v>
      </c>
      <c r="L44">
        <f>VLOOKUP(O44,BulletType!A$1:F$35,5)</f>
        <v>4.8</v>
      </c>
      <c r="M44">
        <f>VLOOKUP(O44,BulletType!A$1:F$35,6)</f>
        <v>2.4</v>
      </c>
      <c r="N44" s="3" t="str">
        <f>VLOOKUP(P44,BulletColor!A$2:B67,2)</f>
        <v>0,0.1,1</v>
      </c>
      <c r="O44">
        <v>1</v>
      </c>
      <c r="P44" s="2">
        <v>5</v>
      </c>
      <c r="Q44" s="2">
        <f t="shared" si="4"/>
        <v>0</v>
      </c>
    </row>
    <row r="45" spans="1:17" x14ac:dyDescent="0.2">
      <c r="A45" s="1">
        <f t="shared" si="2"/>
        <v>101051</v>
      </c>
      <c r="B45" s="3" t="str">
        <f>VLOOKUP(O45,BulletType!A$1:F$35,2)&amp;VLOOKUP(P45,BulletColor!A$1:C$25,3)</f>
        <v>葡萄弹深蓝</v>
      </c>
      <c r="C45" s="3" t="str">
        <f t="shared" si="3"/>
        <v>Bullet101050</v>
      </c>
      <c r="D45" s="2">
        <f>VLOOKUP(O45,BulletType!A$2:N93,9)</f>
        <v>0</v>
      </c>
      <c r="E45" s="2">
        <f>VLOOKUP(O45,BulletType!A$2:N93,10)</f>
        <v>0</v>
      </c>
      <c r="F45" s="3" t="str">
        <f>CONCATENATE(VLOOKUP(O45,BulletType!A$2:I$35,8),VLOOKUP(P45,BulletColor!A$2:D$16,4))</f>
        <v>Bullet200050</v>
      </c>
      <c r="G45" s="3" t="str">
        <f>VLOOKUP(O45,BulletType!A$1:G$35,7)</f>
        <v>1.6,0.401</v>
      </c>
      <c r="H45" s="2">
        <f t="shared" si="0"/>
        <v>1</v>
      </c>
      <c r="I45">
        <f>VLOOKUP(O45,BulletType!A$1:F$35,3)</f>
        <v>0</v>
      </c>
      <c r="J45">
        <f>VLOOKUP(O45,BulletType!A$1:F$35,4)</f>
        <v>0</v>
      </c>
      <c r="K45">
        <f>VLOOKUP(O45,BulletType!A$1:F$35,5)</f>
        <v>4.8</v>
      </c>
      <c r="L45">
        <f>VLOOKUP(O45,BulletType!A$1:F$35,5)</f>
        <v>4.8</v>
      </c>
      <c r="M45">
        <f>VLOOKUP(O45,BulletType!A$1:F$35,6)</f>
        <v>2.4</v>
      </c>
      <c r="N45" s="3" t="str">
        <f>VLOOKUP(P45,BulletColor!A$2:B68,2)</f>
        <v>0,0.1,1</v>
      </c>
      <c r="O45">
        <v>1</v>
      </c>
      <c r="P45" s="2">
        <v>5</v>
      </c>
      <c r="Q45" s="2">
        <f t="shared" si="4"/>
        <v>1</v>
      </c>
    </row>
    <row r="46" spans="1:17" x14ac:dyDescent="0.2">
      <c r="A46" s="1">
        <f t="shared" si="2"/>
        <v>101060</v>
      </c>
      <c r="B46" s="3" t="str">
        <f>VLOOKUP(O46,BulletType!A$1:F$35,2)&amp;VLOOKUP(P46,BulletColor!A$1:C$25,3)</f>
        <v>葡萄弹蓝</v>
      </c>
      <c r="C46" s="3" t="str">
        <f t="shared" si="3"/>
        <v>Bullet101060</v>
      </c>
      <c r="D46" s="2">
        <f>VLOOKUP(O46,BulletType!A$2:N94,9)</f>
        <v>0</v>
      </c>
      <c r="E46" s="2">
        <f>VLOOKUP(O46,BulletType!A$2:N94,10)</f>
        <v>0</v>
      </c>
      <c r="F46" s="3" t="str">
        <f>CONCATENATE(VLOOKUP(O46,BulletType!A$2:I$35,8),VLOOKUP(P46,BulletColor!A$2:D$16,4))</f>
        <v>Bullet200050</v>
      </c>
      <c r="G46" s="3" t="str">
        <f>VLOOKUP(O46,BulletType!A$1:G$35,7)</f>
        <v>1.6,0.401</v>
      </c>
      <c r="H46" s="2">
        <f t="shared" si="0"/>
        <v>0</v>
      </c>
      <c r="I46">
        <f>VLOOKUP(O46,BulletType!A$1:F$35,3)</f>
        <v>0</v>
      </c>
      <c r="J46">
        <f>VLOOKUP(O46,BulletType!A$1:F$35,4)</f>
        <v>0</v>
      </c>
      <c r="K46">
        <f>VLOOKUP(O46,BulletType!A$1:F$35,5)</f>
        <v>4.8</v>
      </c>
      <c r="L46">
        <f>VLOOKUP(O46,BulletType!A$1:F$35,5)</f>
        <v>4.8</v>
      </c>
      <c r="M46">
        <f>VLOOKUP(O46,BulletType!A$1:F$35,6)</f>
        <v>2.4</v>
      </c>
      <c r="N46" s="3" t="str">
        <f>VLOOKUP(P46,BulletColor!A$2:B69,2)</f>
        <v>0,0.1,1</v>
      </c>
      <c r="O46">
        <v>1</v>
      </c>
      <c r="P46" s="2">
        <v>6</v>
      </c>
      <c r="Q46" s="2">
        <f t="shared" si="4"/>
        <v>0</v>
      </c>
    </row>
    <row r="47" spans="1:17" x14ac:dyDescent="0.2">
      <c r="A47" s="1">
        <f t="shared" si="2"/>
        <v>101061</v>
      </c>
      <c r="B47" s="3" t="str">
        <f>VLOOKUP(O47,BulletType!A$1:F$35,2)&amp;VLOOKUP(P47,BulletColor!A$1:C$25,3)</f>
        <v>葡萄弹蓝</v>
      </c>
      <c r="C47" s="3" t="str">
        <f t="shared" si="3"/>
        <v>Bullet101060</v>
      </c>
      <c r="D47" s="2">
        <f>VLOOKUP(O47,BulletType!A$2:N95,9)</f>
        <v>0</v>
      </c>
      <c r="E47" s="2">
        <f>VLOOKUP(O47,BulletType!A$2:N95,10)</f>
        <v>0</v>
      </c>
      <c r="F47" s="3" t="str">
        <f>CONCATENATE(VLOOKUP(O47,BulletType!A$2:I$35,8),VLOOKUP(P47,BulletColor!A$2:D$16,4))</f>
        <v>Bullet200050</v>
      </c>
      <c r="G47" s="3" t="str">
        <f>VLOOKUP(O47,BulletType!A$1:G$35,7)</f>
        <v>1.6,0.401</v>
      </c>
      <c r="H47" s="2">
        <f t="shared" si="0"/>
        <v>1</v>
      </c>
      <c r="I47">
        <f>VLOOKUP(O47,BulletType!A$1:F$35,3)</f>
        <v>0</v>
      </c>
      <c r="J47">
        <f>VLOOKUP(O47,BulletType!A$1:F$35,4)</f>
        <v>0</v>
      </c>
      <c r="K47">
        <f>VLOOKUP(O47,BulletType!A$1:F$35,5)</f>
        <v>4.8</v>
      </c>
      <c r="L47">
        <f>VLOOKUP(O47,BulletType!A$1:F$35,5)</f>
        <v>4.8</v>
      </c>
      <c r="M47">
        <f>VLOOKUP(O47,BulletType!A$1:F$35,6)</f>
        <v>2.4</v>
      </c>
      <c r="N47" s="3" t="str">
        <f>VLOOKUP(P47,BulletColor!A$2:B70,2)</f>
        <v>0,0.1,1</v>
      </c>
      <c r="O47">
        <v>1</v>
      </c>
      <c r="P47" s="2">
        <v>6</v>
      </c>
      <c r="Q47" s="2">
        <f t="shared" si="4"/>
        <v>1</v>
      </c>
    </row>
    <row r="48" spans="1:17" x14ac:dyDescent="0.2">
      <c r="A48" s="1">
        <f t="shared" si="2"/>
        <v>101070</v>
      </c>
      <c r="B48" s="3" t="str">
        <f>VLOOKUP(O48,BulletType!A$1:F$35,2)&amp;VLOOKUP(P48,BulletColor!A$1:C$25,3)</f>
        <v>葡萄弹深青</v>
      </c>
      <c r="C48" s="3" t="str">
        <f t="shared" si="3"/>
        <v>Bullet101070</v>
      </c>
      <c r="D48" s="2">
        <f>VLOOKUP(O48,BulletType!A$2:N96,9)</f>
        <v>0</v>
      </c>
      <c r="E48" s="2">
        <f>VLOOKUP(O48,BulletType!A$2:N96,10)</f>
        <v>0</v>
      </c>
      <c r="F48" s="3" t="str">
        <f>CONCATENATE(VLOOKUP(O48,BulletType!A$2:I$35,8),VLOOKUP(P48,BulletColor!A$2:D$16,4))</f>
        <v>Bullet200070</v>
      </c>
      <c r="G48" s="3" t="str">
        <f>VLOOKUP(O48,BulletType!A$1:G$35,7)</f>
        <v>1.6,0.401</v>
      </c>
      <c r="H48" s="2">
        <f t="shared" si="0"/>
        <v>0</v>
      </c>
      <c r="I48">
        <f>VLOOKUP(O48,BulletType!A$1:F$35,3)</f>
        <v>0</v>
      </c>
      <c r="J48">
        <f>VLOOKUP(O48,BulletType!A$1:F$35,4)</f>
        <v>0</v>
      </c>
      <c r="K48">
        <f>VLOOKUP(O48,BulletType!A$1:F$35,5)</f>
        <v>4.8</v>
      </c>
      <c r="L48">
        <f>VLOOKUP(O48,BulletType!A$1:F$35,5)</f>
        <v>4.8</v>
      </c>
      <c r="M48">
        <f>VLOOKUP(O48,BulletType!A$1:F$35,6)</f>
        <v>2.4</v>
      </c>
      <c r="N48" s="3" t="str">
        <f>VLOOKUP(P48,BulletColor!A$2:B71,2)</f>
        <v>0.25,1,1</v>
      </c>
      <c r="O48">
        <v>1</v>
      </c>
      <c r="P48" s="2">
        <v>7</v>
      </c>
      <c r="Q48" s="2">
        <f t="shared" si="4"/>
        <v>0</v>
      </c>
    </row>
    <row r="49" spans="1:17" x14ac:dyDescent="0.2">
      <c r="A49" s="1">
        <f t="shared" si="2"/>
        <v>101071</v>
      </c>
      <c r="B49" s="3" t="str">
        <f>VLOOKUP(O49,BulletType!A$1:F$35,2)&amp;VLOOKUP(P49,BulletColor!A$1:C$25,3)</f>
        <v>葡萄弹深青</v>
      </c>
      <c r="C49" s="3" t="str">
        <f t="shared" si="3"/>
        <v>Bullet101070</v>
      </c>
      <c r="D49" s="2">
        <f>VLOOKUP(O49,BulletType!A$2:N97,9)</f>
        <v>0</v>
      </c>
      <c r="E49" s="2">
        <f>VLOOKUP(O49,BulletType!A$2:N97,10)</f>
        <v>0</v>
      </c>
      <c r="F49" s="3" t="str">
        <f>CONCATENATE(VLOOKUP(O49,BulletType!A$2:I$35,8),VLOOKUP(P49,BulletColor!A$2:D$16,4))</f>
        <v>Bullet200070</v>
      </c>
      <c r="G49" s="3" t="str">
        <f>VLOOKUP(O49,BulletType!A$1:G$35,7)</f>
        <v>1.6,0.401</v>
      </c>
      <c r="H49" s="2">
        <f t="shared" si="0"/>
        <v>1</v>
      </c>
      <c r="I49">
        <f>VLOOKUP(O49,BulletType!A$1:F$35,3)</f>
        <v>0</v>
      </c>
      <c r="J49">
        <f>VLOOKUP(O49,BulletType!A$1:F$35,4)</f>
        <v>0</v>
      </c>
      <c r="K49">
        <f>VLOOKUP(O49,BulletType!A$1:F$35,5)</f>
        <v>4.8</v>
      </c>
      <c r="L49">
        <f>VLOOKUP(O49,BulletType!A$1:F$35,5)</f>
        <v>4.8</v>
      </c>
      <c r="M49">
        <f>VLOOKUP(O49,BulletType!A$1:F$35,6)</f>
        <v>2.4</v>
      </c>
      <c r="N49" s="3" t="str">
        <f>VLOOKUP(P49,BulletColor!A$2:B72,2)</f>
        <v>0.25,1,1</v>
      </c>
      <c r="O49">
        <v>1</v>
      </c>
      <c r="P49" s="2">
        <v>7</v>
      </c>
      <c r="Q49" s="2">
        <f t="shared" si="4"/>
        <v>1</v>
      </c>
    </row>
    <row r="50" spans="1:17" x14ac:dyDescent="0.2">
      <c r="A50" s="1">
        <f t="shared" si="2"/>
        <v>101080</v>
      </c>
      <c r="B50" s="3" t="str">
        <f>VLOOKUP(O50,BulletType!A$1:F$35,2)&amp;VLOOKUP(P50,BulletColor!A$1:C$25,3)</f>
        <v>葡萄弹青</v>
      </c>
      <c r="C50" s="3" t="str">
        <f t="shared" si="3"/>
        <v>Bullet101080</v>
      </c>
      <c r="D50" s="2">
        <f>VLOOKUP(O50,BulletType!A$2:N98,9)</f>
        <v>0</v>
      </c>
      <c r="E50" s="2">
        <f>VLOOKUP(O50,BulletType!A$2:N98,10)</f>
        <v>0</v>
      </c>
      <c r="F50" s="3" t="str">
        <f>CONCATENATE(VLOOKUP(O50,BulletType!A$2:I$35,8),VLOOKUP(P50,BulletColor!A$2:D$16,4))</f>
        <v>Bullet200070</v>
      </c>
      <c r="G50" s="3" t="str">
        <f>VLOOKUP(O50,BulletType!A$1:G$35,7)</f>
        <v>1.6,0.401</v>
      </c>
      <c r="H50" s="2">
        <f t="shared" si="0"/>
        <v>0</v>
      </c>
      <c r="I50">
        <f>VLOOKUP(O50,BulletType!A$1:F$35,3)</f>
        <v>0</v>
      </c>
      <c r="J50">
        <f>VLOOKUP(O50,BulletType!A$1:F$35,4)</f>
        <v>0</v>
      </c>
      <c r="K50">
        <f>VLOOKUP(O50,BulletType!A$1:F$35,5)</f>
        <v>4.8</v>
      </c>
      <c r="L50">
        <f>VLOOKUP(O50,BulletType!A$1:F$35,5)</f>
        <v>4.8</v>
      </c>
      <c r="M50">
        <f>VLOOKUP(O50,BulletType!A$1:F$35,6)</f>
        <v>2.4</v>
      </c>
      <c r="N50" s="3" t="str">
        <f>VLOOKUP(P50,BulletColor!A$2:B73,2)</f>
        <v>0.25,1,1</v>
      </c>
      <c r="O50">
        <v>1</v>
      </c>
      <c r="P50" s="2">
        <v>8</v>
      </c>
      <c r="Q50" s="2">
        <f t="shared" si="4"/>
        <v>0</v>
      </c>
    </row>
    <row r="51" spans="1:17" x14ac:dyDescent="0.2">
      <c r="A51" s="1">
        <f t="shared" si="2"/>
        <v>101081</v>
      </c>
      <c r="B51" s="3" t="str">
        <f>VLOOKUP(O51,BulletType!A$1:F$35,2)&amp;VLOOKUP(P51,BulletColor!A$1:C$25,3)</f>
        <v>葡萄弹青</v>
      </c>
      <c r="C51" s="3" t="str">
        <f t="shared" si="3"/>
        <v>Bullet101080</v>
      </c>
      <c r="D51" s="2">
        <f>VLOOKUP(O51,BulletType!A$2:N99,9)</f>
        <v>0</v>
      </c>
      <c r="E51" s="2">
        <f>VLOOKUP(O51,BulletType!A$2:N99,10)</f>
        <v>0</v>
      </c>
      <c r="F51" s="3" t="str">
        <f>CONCATENATE(VLOOKUP(O51,BulletType!A$2:I$35,8),VLOOKUP(P51,BulletColor!A$2:D$16,4))</f>
        <v>Bullet200070</v>
      </c>
      <c r="G51" s="3" t="str">
        <f>VLOOKUP(O51,BulletType!A$1:G$35,7)</f>
        <v>1.6,0.401</v>
      </c>
      <c r="H51" s="2">
        <f t="shared" si="0"/>
        <v>1</v>
      </c>
      <c r="I51">
        <f>VLOOKUP(O51,BulletType!A$1:F$35,3)</f>
        <v>0</v>
      </c>
      <c r="J51">
        <f>VLOOKUP(O51,BulletType!A$1:F$35,4)</f>
        <v>0</v>
      </c>
      <c r="K51">
        <f>VLOOKUP(O51,BulletType!A$1:F$35,5)</f>
        <v>4.8</v>
      </c>
      <c r="L51">
        <f>VLOOKUP(O51,BulletType!A$1:F$35,5)</f>
        <v>4.8</v>
      </c>
      <c r="M51">
        <f>VLOOKUP(O51,BulletType!A$1:F$35,6)</f>
        <v>2.4</v>
      </c>
      <c r="N51" s="3" t="str">
        <f>VLOOKUP(P51,BulletColor!A$2:B74,2)</f>
        <v>0.25,1,1</v>
      </c>
      <c r="O51">
        <v>1</v>
      </c>
      <c r="P51" s="2">
        <v>8</v>
      </c>
      <c r="Q51" s="2">
        <f t="shared" si="4"/>
        <v>1</v>
      </c>
    </row>
    <row r="52" spans="1:17" x14ac:dyDescent="0.2">
      <c r="A52" s="1">
        <f t="shared" si="2"/>
        <v>101090</v>
      </c>
      <c r="B52" s="3" t="str">
        <f>VLOOKUP(O52,BulletType!A$1:F$35,2)&amp;VLOOKUP(P52,BulletColor!A$1:C$25,3)</f>
        <v>葡萄弹深绿</v>
      </c>
      <c r="C52" s="3" t="str">
        <f t="shared" si="3"/>
        <v>Bullet101090</v>
      </c>
      <c r="D52" s="2">
        <f>VLOOKUP(O52,BulletType!A$2:N100,9)</f>
        <v>0</v>
      </c>
      <c r="E52" s="2">
        <f>VLOOKUP(O52,BulletType!A$2:N100,10)</f>
        <v>0</v>
      </c>
      <c r="F52" s="3" t="str">
        <f>CONCATENATE(VLOOKUP(O52,BulletType!A$2:I$35,8),VLOOKUP(P52,BulletColor!A$2:D$16,4))</f>
        <v>Bullet200090</v>
      </c>
      <c r="G52" s="3" t="str">
        <f>VLOOKUP(O52,BulletType!A$1:G$35,7)</f>
        <v>1.6,0.401</v>
      </c>
      <c r="H52" s="2">
        <f t="shared" si="0"/>
        <v>0</v>
      </c>
      <c r="I52">
        <f>VLOOKUP(O52,BulletType!A$1:F$35,3)</f>
        <v>0</v>
      </c>
      <c r="J52">
        <f>VLOOKUP(O52,BulletType!A$1:F$35,4)</f>
        <v>0</v>
      </c>
      <c r="K52">
        <f>VLOOKUP(O52,BulletType!A$1:F$35,5)</f>
        <v>4.8</v>
      </c>
      <c r="L52">
        <f>VLOOKUP(O52,BulletType!A$1:F$35,5)</f>
        <v>4.8</v>
      </c>
      <c r="M52">
        <f>VLOOKUP(O52,BulletType!A$1:F$35,6)</f>
        <v>2.4</v>
      </c>
      <c r="N52" s="3" t="str">
        <f>VLOOKUP(P52,BulletColor!A$2:B75,2)</f>
        <v>0.36,0.78,1</v>
      </c>
      <c r="O52">
        <v>1</v>
      </c>
      <c r="P52" s="2">
        <v>9</v>
      </c>
      <c r="Q52" s="2">
        <f t="shared" si="4"/>
        <v>0</v>
      </c>
    </row>
    <row r="53" spans="1:17" x14ac:dyDescent="0.2">
      <c r="A53" s="1">
        <f t="shared" si="2"/>
        <v>101091</v>
      </c>
      <c r="B53" s="3" t="str">
        <f>VLOOKUP(O53,BulletType!A$1:F$35,2)&amp;VLOOKUP(P53,BulletColor!A$1:C$25,3)</f>
        <v>葡萄弹深绿</v>
      </c>
      <c r="C53" s="3" t="str">
        <f t="shared" si="3"/>
        <v>Bullet101090</v>
      </c>
      <c r="D53" s="2">
        <f>VLOOKUP(O53,BulletType!A$2:N101,9)</f>
        <v>0</v>
      </c>
      <c r="E53" s="2">
        <f>VLOOKUP(O53,BulletType!A$2:N101,10)</f>
        <v>0</v>
      </c>
      <c r="F53" s="3" t="str">
        <f>CONCATENATE(VLOOKUP(O53,BulletType!A$2:I$35,8),VLOOKUP(P53,BulletColor!A$2:D$16,4))</f>
        <v>Bullet200090</v>
      </c>
      <c r="G53" s="3" t="str">
        <f>VLOOKUP(O53,BulletType!A$1:G$35,7)</f>
        <v>1.6,0.401</v>
      </c>
      <c r="H53" s="2">
        <f t="shared" si="0"/>
        <v>1</v>
      </c>
      <c r="I53">
        <f>VLOOKUP(O53,BulletType!A$1:F$35,3)</f>
        <v>0</v>
      </c>
      <c r="J53">
        <f>VLOOKUP(O53,BulletType!A$1:F$35,4)</f>
        <v>0</v>
      </c>
      <c r="K53">
        <f>VLOOKUP(O53,BulletType!A$1:F$35,5)</f>
        <v>4.8</v>
      </c>
      <c r="L53">
        <f>VLOOKUP(O53,BulletType!A$1:F$35,5)</f>
        <v>4.8</v>
      </c>
      <c r="M53">
        <f>VLOOKUP(O53,BulletType!A$1:F$35,6)</f>
        <v>2.4</v>
      </c>
      <c r="N53" s="3" t="str">
        <f>VLOOKUP(P53,BulletColor!A$2:B76,2)</f>
        <v>0.36,0.78,1</v>
      </c>
      <c r="O53">
        <v>1</v>
      </c>
      <c r="P53" s="2">
        <v>9</v>
      </c>
      <c r="Q53" s="2">
        <f t="shared" si="4"/>
        <v>1</v>
      </c>
    </row>
    <row r="54" spans="1:17" x14ac:dyDescent="0.2">
      <c r="A54" s="1">
        <f t="shared" si="2"/>
        <v>101100</v>
      </c>
      <c r="B54" s="3" t="str">
        <f>VLOOKUP(O54,BulletType!A$1:F$35,2)&amp;VLOOKUP(P54,BulletColor!A$1:C$25,3)</f>
        <v>葡萄弹绿</v>
      </c>
      <c r="C54" s="3" t="str">
        <f t="shared" si="3"/>
        <v>Bullet101100</v>
      </c>
      <c r="D54" s="2">
        <f>VLOOKUP(O54,BulletType!A$2:N102,9)</f>
        <v>0</v>
      </c>
      <c r="E54" s="2">
        <f>VLOOKUP(O54,BulletType!A$2:N102,10)</f>
        <v>0</v>
      </c>
      <c r="F54" s="3" t="str">
        <f>CONCATENATE(VLOOKUP(O54,BulletType!A$2:I$35,8),VLOOKUP(P54,BulletColor!A$2:D$16,4))</f>
        <v>Bullet200090</v>
      </c>
      <c r="G54" s="3" t="str">
        <f>VLOOKUP(O54,BulletType!A$1:G$35,7)</f>
        <v>1.6,0.401</v>
      </c>
      <c r="H54" s="2">
        <f t="shared" si="0"/>
        <v>0</v>
      </c>
      <c r="I54">
        <f>VLOOKUP(O54,BulletType!A$1:F$35,3)</f>
        <v>0</v>
      </c>
      <c r="J54">
        <f>VLOOKUP(O54,BulletType!A$1:F$35,4)</f>
        <v>0</v>
      </c>
      <c r="K54">
        <f>VLOOKUP(O54,BulletType!A$1:F$35,5)</f>
        <v>4.8</v>
      </c>
      <c r="L54">
        <f>VLOOKUP(O54,BulletType!A$1:F$35,5)</f>
        <v>4.8</v>
      </c>
      <c r="M54">
        <f>VLOOKUP(O54,BulletType!A$1:F$35,6)</f>
        <v>2.4</v>
      </c>
      <c r="N54" s="3" t="str">
        <f>VLOOKUP(P54,BulletColor!A$2:B77,2)</f>
        <v>0.36,0.78,1</v>
      </c>
      <c r="O54">
        <v>1</v>
      </c>
      <c r="P54" s="2">
        <v>10</v>
      </c>
      <c r="Q54" s="2">
        <f t="shared" si="4"/>
        <v>0</v>
      </c>
    </row>
    <row r="55" spans="1:17" x14ac:dyDescent="0.2">
      <c r="A55" s="1">
        <f t="shared" si="2"/>
        <v>101101</v>
      </c>
      <c r="B55" s="3" t="str">
        <f>VLOOKUP(O55,BulletType!A$1:F$35,2)&amp;VLOOKUP(P55,BulletColor!A$1:C$25,3)</f>
        <v>葡萄弹绿</v>
      </c>
      <c r="C55" s="3" t="str">
        <f t="shared" si="3"/>
        <v>Bullet101100</v>
      </c>
      <c r="D55" s="2">
        <f>VLOOKUP(O55,BulletType!A$2:N103,9)</f>
        <v>0</v>
      </c>
      <c r="E55" s="2">
        <f>VLOOKUP(O55,BulletType!A$2:N103,10)</f>
        <v>0</v>
      </c>
      <c r="F55" s="3" t="str">
        <f>CONCATENATE(VLOOKUP(O55,BulletType!A$2:I$35,8),VLOOKUP(P55,BulletColor!A$2:D$16,4))</f>
        <v>Bullet200090</v>
      </c>
      <c r="G55" s="3" t="str">
        <f>VLOOKUP(O55,BulletType!A$1:G$35,7)</f>
        <v>1.6,0.401</v>
      </c>
      <c r="H55" s="2">
        <f t="shared" si="0"/>
        <v>1</v>
      </c>
      <c r="I55">
        <f>VLOOKUP(O55,BulletType!A$1:F$35,3)</f>
        <v>0</v>
      </c>
      <c r="J55">
        <f>VLOOKUP(O55,BulletType!A$1:F$35,4)</f>
        <v>0</v>
      </c>
      <c r="K55">
        <f>VLOOKUP(O55,BulletType!A$1:F$35,5)</f>
        <v>4.8</v>
      </c>
      <c r="L55">
        <f>VLOOKUP(O55,BulletType!A$1:F$35,5)</f>
        <v>4.8</v>
      </c>
      <c r="M55">
        <f>VLOOKUP(O55,BulletType!A$1:F$35,6)</f>
        <v>2.4</v>
      </c>
      <c r="N55" s="3" t="str">
        <f>VLOOKUP(P55,BulletColor!A$2:B78,2)</f>
        <v>0.36,0.78,1</v>
      </c>
      <c r="O55">
        <v>1</v>
      </c>
      <c r="P55" s="2">
        <v>10</v>
      </c>
      <c r="Q55" s="2">
        <f t="shared" si="4"/>
        <v>1</v>
      </c>
    </row>
    <row r="56" spans="1:17" x14ac:dyDescent="0.2">
      <c r="A56" s="1">
        <f t="shared" si="2"/>
        <v>101110</v>
      </c>
      <c r="B56" s="3" t="str">
        <f>VLOOKUP(O56,BulletType!A$1:F$35,2)&amp;VLOOKUP(P56,BulletColor!A$1:C$25,3)</f>
        <v>葡萄弹黄绿</v>
      </c>
      <c r="C56" s="3" t="str">
        <f t="shared" si="3"/>
        <v>Bullet101110</v>
      </c>
      <c r="D56" s="2">
        <f>VLOOKUP(O56,BulletType!A$2:N104,9)</f>
        <v>0</v>
      </c>
      <c r="E56" s="2">
        <f>VLOOKUP(O56,BulletType!A$2:N104,10)</f>
        <v>0</v>
      </c>
      <c r="F56" s="3" t="str">
        <f>CONCATENATE(VLOOKUP(O56,BulletType!A$2:I$35,8),VLOOKUP(P56,BulletColor!A$2:D$16,4))</f>
        <v>Bullet200090</v>
      </c>
      <c r="G56" s="3" t="str">
        <f>VLOOKUP(O56,BulletType!A$1:G$35,7)</f>
        <v>1.6,0.401</v>
      </c>
      <c r="H56" s="2">
        <f t="shared" si="0"/>
        <v>0</v>
      </c>
      <c r="I56">
        <f>VLOOKUP(O56,BulletType!A$1:F$35,3)</f>
        <v>0</v>
      </c>
      <c r="J56">
        <f>VLOOKUP(O56,BulletType!A$1:F$35,4)</f>
        <v>0</v>
      </c>
      <c r="K56">
        <f>VLOOKUP(O56,BulletType!A$1:F$35,5)</f>
        <v>4.8</v>
      </c>
      <c r="L56">
        <f>VLOOKUP(O56,BulletType!A$1:F$35,5)</f>
        <v>4.8</v>
      </c>
      <c r="M56">
        <f>VLOOKUP(O56,BulletType!A$1:F$35,6)</f>
        <v>2.4</v>
      </c>
      <c r="N56" s="3" t="str">
        <f>VLOOKUP(P56,BulletColor!A$2:B79,2)</f>
        <v>0.9,1,0.4</v>
      </c>
      <c r="O56">
        <v>1</v>
      </c>
      <c r="P56" s="2">
        <v>11</v>
      </c>
      <c r="Q56" s="2">
        <f t="shared" si="4"/>
        <v>0</v>
      </c>
    </row>
    <row r="57" spans="1:17" x14ac:dyDescent="0.2">
      <c r="A57" s="1">
        <f t="shared" si="2"/>
        <v>101111</v>
      </c>
      <c r="B57" s="3" t="str">
        <f>VLOOKUP(O57,BulletType!A$1:F$35,2)&amp;VLOOKUP(P57,BulletColor!A$1:C$25,3)</f>
        <v>葡萄弹黄绿</v>
      </c>
      <c r="C57" s="3" t="str">
        <f t="shared" si="3"/>
        <v>Bullet101110</v>
      </c>
      <c r="D57" s="2">
        <f>VLOOKUP(O57,BulletType!A$2:N105,9)</f>
        <v>0</v>
      </c>
      <c r="E57" s="2">
        <f>VLOOKUP(O57,BulletType!A$2:N105,10)</f>
        <v>0</v>
      </c>
      <c r="F57" s="3" t="str">
        <f>CONCATENATE(VLOOKUP(O57,BulletType!A$2:I$35,8),VLOOKUP(P57,BulletColor!A$2:D$16,4))</f>
        <v>Bullet200090</v>
      </c>
      <c r="G57" s="3" t="str">
        <f>VLOOKUP(O57,BulletType!A$1:G$35,7)</f>
        <v>1.6,0.401</v>
      </c>
      <c r="H57" s="2">
        <f t="shared" si="0"/>
        <v>1</v>
      </c>
      <c r="I57">
        <f>VLOOKUP(O57,BulletType!A$1:F$35,3)</f>
        <v>0</v>
      </c>
      <c r="J57">
        <f>VLOOKUP(O57,BulletType!A$1:F$35,4)</f>
        <v>0</v>
      </c>
      <c r="K57">
        <f>VLOOKUP(O57,BulletType!A$1:F$35,5)</f>
        <v>4.8</v>
      </c>
      <c r="L57">
        <f>VLOOKUP(O57,BulletType!A$1:F$35,5)</f>
        <v>4.8</v>
      </c>
      <c r="M57">
        <f>VLOOKUP(O57,BulletType!A$1:F$35,6)</f>
        <v>2.4</v>
      </c>
      <c r="N57" s="3" t="str">
        <f>VLOOKUP(P57,BulletColor!A$2:B80,2)</f>
        <v>0.9,1,0.4</v>
      </c>
      <c r="O57">
        <v>1</v>
      </c>
      <c r="P57" s="2">
        <v>11</v>
      </c>
      <c r="Q57" s="2">
        <f t="shared" si="4"/>
        <v>1</v>
      </c>
    </row>
    <row r="58" spans="1:17" x14ac:dyDescent="0.2">
      <c r="A58" s="1">
        <f t="shared" si="2"/>
        <v>101120</v>
      </c>
      <c r="B58" s="3" t="str">
        <f>VLOOKUP(O58,BulletType!A$1:F$35,2)&amp;VLOOKUP(P58,BulletColor!A$1:C$25,3)</f>
        <v>葡萄弹深黄</v>
      </c>
      <c r="C58" s="3" t="str">
        <f t="shared" si="3"/>
        <v>Bullet101120</v>
      </c>
      <c r="D58" s="2">
        <f>VLOOKUP(O58,BulletType!A$2:N106,9)</f>
        <v>0</v>
      </c>
      <c r="E58" s="2">
        <f>VLOOKUP(O58,BulletType!A$2:N106,10)</f>
        <v>0</v>
      </c>
      <c r="F58" s="3" t="str">
        <f>CONCATENATE(VLOOKUP(O58,BulletType!A$2:I$35,8),VLOOKUP(P58,BulletColor!A$2:D$16,4))</f>
        <v>Bullet200090</v>
      </c>
      <c r="G58" s="3" t="str">
        <f>VLOOKUP(O58,BulletType!A$1:G$35,7)</f>
        <v>1.6,0.401</v>
      </c>
      <c r="H58" s="2">
        <f t="shared" si="0"/>
        <v>0</v>
      </c>
      <c r="I58">
        <f>VLOOKUP(O58,BulletType!A$1:F$35,3)</f>
        <v>0</v>
      </c>
      <c r="J58">
        <f>VLOOKUP(O58,BulletType!A$1:F$35,4)</f>
        <v>0</v>
      </c>
      <c r="K58">
        <f>VLOOKUP(O58,BulletType!A$1:F$35,5)</f>
        <v>4.8</v>
      </c>
      <c r="L58">
        <f>VLOOKUP(O58,BulletType!A$1:F$35,5)</f>
        <v>4.8</v>
      </c>
      <c r="M58">
        <f>VLOOKUP(O58,BulletType!A$1:F$35,6)</f>
        <v>2.4</v>
      </c>
      <c r="N58" s="3" t="str">
        <f>VLOOKUP(P58,BulletColor!A$2:B81,2)</f>
        <v>0.9,1,0.4</v>
      </c>
      <c r="O58">
        <v>1</v>
      </c>
      <c r="P58" s="2">
        <v>12</v>
      </c>
      <c r="Q58" s="2">
        <f t="shared" si="4"/>
        <v>0</v>
      </c>
    </row>
    <row r="59" spans="1:17" x14ac:dyDescent="0.2">
      <c r="A59" s="1">
        <f t="shared" si="2"/>
        <v>101121</v>
      </c>
      <c r="B59" s="3" t="str">
        <f>VLOOKUP(O59,BulletType!A$1:F$35,2)&amp;VLOOKUP(P59,BulletColor!A$1:C$25,3)</f>
        <v>葡萄弹深黄</v>
      </c>
      <c r="C59" s="3" t="str">
        <f t="shared" si="3"/>
        <v>Bullet101120</v>
      </c>
      <c r="D59" s="2">
        <f>VLOOKUP(O59,BulletType!A$2:N107,9)</f>
        <v>0</v>
      </c>
      <c r="E59" s="2">
        <f>VLOOKUP(O59,BulletType!A$2:N107,10)</f>
        <v>0</v>
      </c>
      <c r="F59" s="3" t="str">
        <f>CONCATENATE(VLOOKUP(O59,BulletType!A$2:I$35,8),VLOOKUP(P59,BulletColor!A$2:D$16,4))</f>
        <v>Bullet200090</v>
      </c>
      <c r="G59" s="3" t="str">
        <f>VLOOKUP(O59,BulletType!A$1:G$35,7)</f>
        <v>1.6,0.401</v>
      </c>
      <c r="H59" s="2">
        <f t="shared" si="0"/>
        <v>1</v>
      </c>
      <c r="I59">
        <f>VLOOKUP(O59,BulletType!A$1:F$35,3)</f>
        <v>0</v>
      </c>
      <c r="J59">
        <f>VLOOKUP(O59,BulletType!A$1:F$35,4)</f>
        <v>0</v>
      </c>
      <c r="K59">
        <f>VLOOKUP(O59,BulletType!A$1:F$35,5)</f>
        <v>4.8</v>
      </c>
      <c r="L59">
        <f>VLOOKUP(O59,BulletType!A$1:F$35,5)</f>
        <v>4.8</v>
      </c>
      <c r="M59">
        <f>VLOOKUP(O59,BulletType!A$1:F$35,6)</f>
        <v>2.4</v>
      </c>
      <c r="N59" s="3" t="str">
        <f>VLOOKUP(P59,BulletColor!A$2:B82,2)</f>
        <v>0.9,1,0.4</v>
      </c>
      <c r="O59">
        <v>1</v>
      </c>
      <c r="P59" s="2">
        <v>12</v>
      </c>
      <c r="Q59" s="2">
        <f t="shared" si="4"/>
        <v>1</v>
      </c>
    </row>
    <row r="60" spans="1:17" x14ac:dyDescent="0.2">
      <c r="A60" s="1">
        <f t="shared" si="2"/>
        <v>101130</v>
      </c>
      <c r="B60" s="3" t="str">
        <f>VLOOKUP(O60,BulletType!A$1:F$35,2)&amp;VLOOKUP(P60,BulletColor!A$1:C$25,3)</f>
        <v>葡萄弹浅黄</v>
      </c>
      <c r="C60" s="3" t="str">
        <f t="shared" si="3"/>
        <v>Bullet101130</v>
      </c>
      <c r="D60" s="2">
        <f>VLOOKUP(O60,BulletType!A$2:N108,9)</f>
        <v>0</v>
      </c>
      <c r="E60" s="2">
        <f>VLOOKUP(O60,BulletType!A$2:N108,10)</f>
        <v>0</v>
      </c>
      <c r="F60" s="3" t="str">
        <f>CONCATENATE(VLOOKUP(O60,BulletType!A$2:I$35,8),VLOOKUP(P60,BulletColor!A$2:D$16,4))</f>
        <v>Bullet200130</v>
      </c>
      <c r="G60" s="3" t="str">
        <f>VLOOKUP(O60,BulletType!A$1:G$35,7)</f>
        <v>1.6,0.401</v>
      </c>
      <c r="H60" s="2">
        <f t="shared" si="0"/>
        <v>0</v>
      </c>
      <c r="I60">
        <f>VLOOKUP(O60,BulletType!A$1:F$35,3)</f>
        <v>0</v>
      </c>
      <c r="J60">
        <f>VLOOKUP(O60,BulletType!A$1:F$35,4)</f>
        <v>0</v>
      </c>
      <c r="K60">
        <f>VLOOKUP(O60,BulletType!A$1:F$35,5)</f>
        <v>4.8</v>
      </c>
      <c r="L60">
        <f>VLOOKUP(O60,BulletType!A$1:F$35,5)</f>
        <v>4.8</v>
      </c>
      <c r="M60">
        <f>VLOOKUP(O60,BulletType!A$1:F$35,6)</f>
        <v>2.4</v>
      </c>
      <c r="N60" s="3" t="str">
        <f>VLOOKUP(P60,BulletColor!A$2:B83,2)</f>
        <v>0.9,1,0.4</v>
      </c>
      <c r="O60">
        <v>1</v>
      </c>
      <c r="P60" s="2">
        <v>13</v>
      </c>
      <c r="Q60" s="2">
        <f t="shared" si="4"/>
        <v>0</v>
      </c>
    </row>
    <row r="61" spans="1:17" x14ac:dyDescent="0.2">
      <c r="A61" s="1">
        <f t="shared" si="2"/>
        <v>101131</v>
      </c>
      <c r="B61" s="3" t="str">
        <f>VLOOKUP(O61,BulletType!A$1:F$35,2)&amp;VLOOKUP(P61,BulletColor!A$1:C$25,3)</f>
        <v>葡萄弹浅黄</v>
      </c>
      <c r="C61" s="3" t="str">
        <f t="shared" si="3"/>
        <v>Bullet101130</v>
      </c>
      <c r="D61" s="2">
        <f>VLOOKUP(O61,BulletType!A$2:N109,9)</f>
        <v>0</v>
      </c>
      <c r="E61" s="2">
        <f>VLOOKUP(O61,BulletType!A$2:N109,10)</f>
        <v>0</v>
      </c>
      <c r="F61" s="3" t="str">
        <f>CONCATENATE(VLOOKUP(O61,BulletType!A$2:I$35,8),VLOOKUP(P61,BulletColor!A$2:D$16,4))</f>
        <v>Bullet200130</v>
      </c>
      <c r="G61" s="3" t="str">
        <f>VLOOKUP(O61,BulletType!A$1:G$35,7)</f>
        <v>1.6,0.401</v>
      </c>
      <c r="H61" s="2">
        <f t="shared" si="0"/>
        <v>1</v>
      </c>
      <c r="I61">
        <f>VLOOKUP(O61,BulletType!A$1:F$35,3)</f>
        <v>0</v>
      </c>
      <c r="J61">
        <f>VLOOKUP(O61,BulletType!A$1:F$35,4)</f>
        <v>0</v>
      </c>
      <c r="K61">
        <f>VLOOKUP(O61,BulletType!A$1:F$35,5)</f>
        <v>4.8</v>
      </c>
      <c r="L61">
        <f>VLOOKUP(O61,BulletType!A$1:F$35,5)</f>
        <v>4.8</v>
      </c>
      <c r="M61">
        <f>VLOOKUP(O61,BulletType!A$1:F$35,6)</f>
        <v>2.4</v>
      </c>
      <c r="N61" s="3" t="str">
        <f>VLOOKUP(P61,BulletColor!A$2:B84,2)</f>
        <v>0.9,1,0.4</v>
      </c>
      <c r="O61">
        <v>1</v>
      </c>
      <c r="P61" s="2">
        <v>13</v>
      </c>
      <c r="Q61" s="2">
        <f t="shared" si="4"/>
        <v>1</v>
      </c>
    </row>
    <row r="62" spans="1:17" x14ac:dyDescent="0.2">
      <c r="A62" s="1">
        <f t="shared" si="2"/>
        <v>101140</v>
      </c>
      <c r="B62" s="3" t="str">
        <f>VLOOKUP(O62,BulletType!A$1:F$35,2)&amp;VLOOKUP(P62,BulletColor!A$1:C$25,3)</f>
        <v>葡萄弹棕黄</v>
      </c>
      <c r="C62" s="3" t="str">
        <f t="shared" si="3"/>
        <v>Bullet101140</v>
      </c>
      <c r="D62" s="2">
        <f>VLOOKUP(O62,BulletType!A$2:N110,9)</f>
        <v>0</v>
      </c>
      <c r="E62" s="2">
        <f>VLOOKUP(O62,BulletType!A$2:N110,10)</f>
        <v>0</v>
      </c>
      <c r="F62" s="3" t="str">
        <f>CONCATENATE(VLOOKUP(O62,BulletType!A$2:I$35,8),VLOOKUP(P62,BulletColor!A$2:D$16,4))</f>
        <v>Bullet200130</v>
      </c>
      <c r="G62" s="3" t="str">
        <f>VLOOKUP(O62,BulletType!A$1:G$35,7)</f>
        <v>1.6,0.401</v>
      </c>
      <c r="H62" s="2">
        <f t="shared" si="0"/>
        <v>0</v>
      </c>
      <c r="I62">
        <f>VLOOKUP(O62,BulletType!A$1:F$35,3)</f>
        <v>0</v>
      </c>
      <c r="J62">
        <f>VLOOKUP(O62,BulletType!A$1:F$35,4)</f>
        <v>0</v>
      </c>
      <c r="K62">
        <f>VLOOKUP(O62,BulletType!A$1:F$35,5)</f>
        <v>4.8</v>
      </c>
      <c r="L62">
        <f>VLOOKUP(O62,BulletType!A$1:F$35,5)</f>
        <v>4.8</v>
      </c>
      <c r="M62">
        <f>VLOOKUP(O62,BulletType!A$1:F$35,6)</f>
        <v>2.4</v>
      </c>
      <c r="N62" s="3" t="str">
        <f>VLOOKUP(P62,BulletColor!A$2:B85,2)</f>
        <v>0.9,1,0.4</v>
      </c>
      <c r="O62">
        <v>1</v>
      </c>
      <c r="P62" s="2">
        <v>14</v>
      </c>
      <c r="Q62" s="2">
        <f t="shared" si="4"/>
        <v>0</v>
      </c>
    </row>
    <row r="63" spans="1:17" x14ac:dyDescent="0.2">
      <c r="A63" s="1">
        <f t="shared" si="2"/>
        <v>101141</v>
      </c>
      <c r="B63" s="3" t="str">
        <f>VLOOKUP(O63,BulletType!A$1:F$35,2)&amp;VLOOKUP(P63,BulletColor!A$1:C$25,3)</f>
        <v>葡萄弹棕黄</v>
      </c>
      <c r="C63" s="3" t="str">
        <f t="shared" si="3"/>
        <v>Bullet101140</v>
      </c>
      <c r="D63" s="2">
        <f>VLOOKUP(O63,BulletType!A$2:N111,9)</f>
        <v>0</v>
      </c>
      <c r="E63" s="2">
        <f>VLOOKUP(O63,BulletType!A$2:N111,10)</f>
        <v>0</v>
      </c>
      <c r="F63" s="3" t="str">
        <f>CONCATENATE(VLOOKUP(O63,BulletType!A$2:I$35,8),VLOOKUP(P63,BulletColor!A$2:D$16,4))</f>
        <v>Bullet200130</v>
      </c>
      <c r="G63" s="3" t="str">
        <f>VLOOKUP(O63,BulletType!A$1:G$35,7)</f>
        <v>1.6,0.401</v>
      </c>
      <c r="H63" s="2">
        <f t="shared" si="0"/>
        <v>1</v>
      </c>
      <c r="I63">
        <f>VLOOKUP(O63,BulletType!A$1:F$35,3)</f>
        <v>0</v>
      </c>
      <c r="J63">
        <f>VLOOKUP(O63,BulletType!A$1:F$35,4)</f>
        <v>0</v>
      </c>
      <c r="K63">
        <f>VLOOKUP(O63,BulletType!A$1:F$35,5)</f>
        <v>4.8</v>
      </c>
      <c r="L63">
        <f>VLOOKUP(O63,BulletType!A$1:F$35,5)</f>
        <v>4.8</v>
      </c>
      <c r="M63">
        <f>VLOOKUP(O63,BulletType!A$1:F$35,6)</f>
        <v>2.4</v>
      </c>
      <c r="N63" s="3" t="str">
        <f>VLOOKUP(P63,BulletColor!A$2:B86,2)</f>
        <v>0.9,1,0.4</v>
      </c>
      <c r="O63">
        <v>1</v>
      </c>
      <c r="P63" s="2">
        <v>14</v>
      </c>
      <c r="Q63" s="2">
        <f t="shared" si="4"/>
        <v>1</v>
      </c>
    </row>
    <row r="64" spans="1:17" x14ac:dyDescent="0.2">
      <c r="A64" s="1">
        <f t="shared" si="2"/>
        <v>101150</v>
      </c>
      <c r="B64" s="3" t="str">
        <f>VLOOKUP(O64,BulletType!A$1:F$35,2)&amp;VLOOKUP(P64,BulletColor!A$1:C$25,3)</f>
        <v>葡萄弹白</v>
      </c>
      <c r="C64" s="3" t="str">
        <f t="shared" si="3"/>
        <v>Bullet101150</v>
      </c>
      <c r="D64" s="2">
        <f>VLOOKUP(O64,BulletType!A$2:N112,9)</f>
        <v>0</v>
      </c>
      <c r="E64" s="2">
        <f>VLOOKUP(O64,BulletType!A$2:N112,10)</f>
        <v>0</v>
      </c>
      <c r="F64" s="3" t="str">
        <f>CONCATENATE(VLOOKUP(O64,BulletType!A$2:I$35,8),VLOOKUP(P64,BulletColor!A$2:D$16,4))</f>
        <v>Bullet200130</v>
      </c>
      <c r="G64" s="3" t="str">
        <f>VLOOKUP(O64,BulletType!A$1:G$35,7)</f>
        <v>1.6,0.401</v>
      </c>
      <c r="H64" s="2">
        <f t="shared" si="0"/>
        <v>0</v>
      </c>
      <c r="I64">
        <f>VLOOKUP(O64,BulletType!A$1:F$35,3)</f>
        <v>0</v>
      </c>
      <c r="J64">
        <f>VLOOKUP(O64,BulletType!A$1:F$35,4)</f>
        <v>0</v>
      </c>
      <c r="K64">
        <f>VLOOKUP(O64,BulletType!A$1:F$35,5)</f>
        <v>4.8</v>
      </c>
      <c r="L64">
        <f>VLOOKUP(O64,BulletType!A$1:F$35,5)</f>
        <v>4.8</v>
      </c>
      <c r="M64">
        <f>VLOOKUP(O64,BulletType!A$1:F$35,6)</f>
        <v>2.4</v>
      </c>
      <c r="N64" s="3" t="str">
        <f>VLOOKUP(P64,BulletColor!A$2:B87,2)</f>
        <v>0.8,0.8,0.8</v>
      </c>
      <c r="O64">
        <v>1</v>
      </c>
      <c r="P64" s="2">
        <v>15</v>
      </c>
      <c r="Q64" s="2">
        <f t="shared" si="4"/>
        <v>0</v>
      </c>
    </row>
    <row r="65" spans="1:17" x14ac:dyDescent="0.2">
      <c r="A65" s="1">
        <f t="shared" si="2"/>
        <v>101151</v>
      </c>
      <c r="B65" s="3" t="str">
        <f>VLOOKUP(O65,BulletType!A$1:F$35,2)&amp;VLOOKUP(P65,BulletColor!A$1:C$25,3)</f>
        <v>葡萄弹白</v>
      </c>
      <c r="C65" s="3" t="str">
        <f t="shared" si="3"/>
        <v>Bullet101150</v>
      </c>
      <c r="D65" s="2">
        <f>VLOOKUP(O65,BulletType!A$2:N113,9)</f>
        <v>0</v>
      </c>
      <c r="E65" s="2">
        <f>VLOOKUP(O65,BulletType!A$2:N113,10)</f>
        <v>0</v>
      </c>
      <c r="F65" s="3" t="str">
        <f>CONCATENATE(VLOOKUP(O65,BulletType!A$2:I$35,8),VLOOKUP(P65,BulletColor!A$2:D$16,4))</f>
        <v>Bullet200130</v>
      </c>
      <c r="G65" s="3" t="str">
        <f>VLOOKUP(O65,BulletType!A$1:G$35,7)</f>
        <v>1.6,0.401</v>
      </c>
      <c r="H65" s="2">
        <f t="shared" si="0"/>
        <v>1</v>
      </c>
      <c r="I65">
        <f>VLOOKUP(O65,BulletType!A$1:F$35,3)</f>
        <v>0</v>
      </c>
      <c r="J65">
        <f>VLOOKUP(O65,BulletType!A$1:F$35,4)</f>
        <v>0</v>
      </c>
      <c r="K65">
        <f>VLOOKUP(O65,BulletType!A$1:F$35,5)</f>
        <v>4.8</v>
      </c>
      <c r="L65">
        <f>VLOOKUP(O65,BulletType!A$1:F$35,5)</f>
        <v>4.8</v>
      </c>
      <c r="M65">
        <f>VLOOKUP(O65,BulletType!A$1:F$35,6)</f>
        <v>2.4</v>
      </c>
      <c r="N65" s="3" t="str">
        <f>VLOOKUP(P65,BulletColor!A$2:B88,2)</f>
        <v>0.8,0.8,0.8</v>
      </c>
      <c r="O65">
        <v>1</v>
      </c>
      <c r="P65" s="2">
        <v>15</v>
      </c>
      <c r="Q65" s="2">
        <f t="shared" si="4"/>
        <v>1</v>
      </c>
    </row>
    <row r="66" spans="1:17" x14ac:dyDescent="0.2">
      <c r="A66" s="1">
        <f t="shared" si="2"/>
        <v>102000</v>
      </c>
      <c r="B66" s="3" t="str">
        <f>VLOOKUP(O66,BulletType!A$1:F$35,2)&amp;VLOOKUP(P66,BulletColor!A$1:C$25,3)</f>
        <v>小玉灰</v>
      </c>
      <c r="C66" s="3" t="str">
        <f t="shared" si="3"/>
        <v>Bullet102000</v>
      </c>
      <c r="D66" s="2">
        <f>VLOOKUP(O66,BulletType!A$2:N114,9)</f>
        <v>0</v>
      </c>
      <c r="E66" s="2">
        <f>VLOOKUP(O66,BulletType!A$2:N114,10)</f>
        <v>0</v>
      </c>
      <c r="F66" s="3" t="str">
        <f>CONCATENATE(VLOOKUP(O66,BulletType!A$2:I$35,8),VLOOKUP(P66,BulletColor!A$2:D$16,4))</f>
        <v>Bullet200000</v>
      </c>
      <c r="G66" s="3" t="str">
        <f>VLOOKUP(O66,BulletType!A$1:G$35,7)</f>
        <v>3,0.75</v>
      </c>
      <c r="H66" s="2">
        <f t="shared" ref="H66:H129" si="5">INT(Q66)</f>
        <v>0</v>
      </c>
      <c r="I66">
        <f>VLOOKUP(O66,BulletType!A$1:F$35,3)</f>
        <v>0</v>
      </c>
      <c r="J66">
        <f>VLOOKUP(O66,BulletType!A$1:F$35,4)</f>
        <v>0</v>
      </c>
      <c r="K66">
        <f>VLOOKUP(O66,BulletType!A$1:F$35,5)</f>
        <v>8</v>
      </c>
      <c r="L66">
        <f>VLOOKUP(O66,BulletType!A$1:F$35,5)</f>
        <v>8</v>
      </c>
      <c r="M66">
        <f>VLOOKUP(O66,BulletType!A$1:F$35,6)</f>
        <v>4</v>
      </c>
      <c r="N66" s="3" t="str">
        <f>VLOOKUP(P66,BulletColor!A$2:B89,2)</f>
        <v>0.5,0.5,0.5</v>
      </c>
      <c r="O66">
        <v>2</v>
      </c>
      <c r="P66" s="2">
        <v>0</v>
      </c>
      <c r="Q66" s="2">
        <f t="shared" si="4"/>
        <v>0</v>
      </c>
    </row>
    <row r="67" spans="1:17" x14ac:dyDescent="0.2">
      <c r="A67" s="1">
        <f t="shared" ref="A67:A130" si="6">VALUE(CONCATENATE(1,(REPT(0,2-LEN(O67))&amp;O67),REPT(0,2-LEN(P67))&amp;(P67),Q67))</f>
        <v>102001</v>
      </c>
      <c r="B67" s="3" t="str">
        <f>VLOOKUP(O67,BulletType!A$1:F$35,2)&amp;VLOOKUP(P67,BulletColor!A$1:C$25,3)</f>
        <v>小玉灰</v>
      </c>
      <c r="C67" s="3" t="str">
        <f t="shared" ref="C67:C130" si="7">CONCATENATE("Bullet",INT(A67/10)*10)</f>
        <v>Bullet102000</v>
      </c>
      <c r="D67" s="2">
        <f>VLOOKUP(O67,BulletType!A$2:N115,9)</f>
        <v>0</v>
      </c>
      <c r="E67" s="2">
        <f>VLOOKUP(O67,BulletType!A$2:N115,10)</f>
        <v>0</v>
      </c>
      <c r="F67" s="3" t="str">
        <f>CONCATENATE(VLOOKUP(O67,BulletType!A$2:I$35,8),VLOOKUP(P67,BulletColor!A$2:D$16,4))</f>
        <v>Bullet200000</v>
      </c>
      <c r="G67" s="3" t="str">
        <f>VLOOKUP(O67,BulletType!A$1:G$35,7)</f>
        <v>3,0.75</v>
      </c>
      <c r="H67" s="2">
        <f t="shared" si="5"/>
        <v>1</v>
      </c>
      <c r="I67">
        <f>VLOOKUP(O67,BulletType!A$1:F$35,3)</f>
        <v>0</v>
      </c>
      <c r="J67">
        <f>VLOOKUP(O67,BulletType!A$1:F$35,4)</f>
        <v>0</v>
      </c>
      <c r="K67">
        <f>VLOOKUP(O67,BulletType!A$1:F$35,5)</f>
        <v>8</v>
      </c>
      <c r="L67">
        <f>VLOOKUP(O67,BulletType!A$1:F$35,5)</f>
        <v>8</v>
      </c>
      <c r="M67">
        <f>VLOOKUP(O67,BulletType!A$1:F$35,6)</f>
        <v>4</v>
      </c>
      <c r="N67" s="3" t="str">
        <f>VLOOKUP(P67,BulletColor!A$2:B90,2)</f>
        <v>0.5,0.5,0.5</v>
      </c>
      <c r="O67">
        <v>2</v>
      </c>
      <c r="P67" s="2">
        <v>0</v>
      </c>
      <c r="Q67" s="2">
        <f t="shared" si="4"/>
        <v>1</v>
      </c>
    </row>
    <row r="68" spans="1:17" x14ac:dyDescent="0.2">
      <c r="A68" s="1">
        <f t="shared" si="6"/>
        <v>102010</v>
      </c>
      <c r="B68" s="3" t="str">
        <f>VLOOKUP(O68,BulletType!A$1:F$35,2)&amp;VLOOKUP(P68,BulletColor!A$1:C$25,3)</f>
        <v>小玉深红</v>
      </c>
      <c r="C68" s="3" t="str">
        <f t="shared" si="7"/>
        <v>Bullet102010</v>
      </c>
      <c r="D68" s="2">
        <f>VLOOKUP(O68,BulletType!A$2:N116,9)</f>
        <v>0</v>
      </c>
      <c r="E68" s="2">
        <f>VLOOKUP(O68,BulletType!A$2:N116,10)</f>
        <v>0</v>
      </c>
      <c r="F68" s="3" t="str">
        <f>CONCATENATE(VLOOKUP(O68,BulletType!A$2:I$35,8),VLOOKUP(P68,BulletColor!A$2:D$16,4))</f>
        <v>Bullet200010</v>
      </c>
      <c r="G68" s="3" t="str">
        <f>VLOOKUP(O68,BulletType!A$1:G$35,7)</f>
        <v>3,0.75</v>
      </c>
      <c r="H68" s="2">
        <f t="shared" si="5"/>
        <v>0</v>
      </c>
      <c r="I68">
        <f>VLOOKUP(O68,BulletType!A$1:F$35,3)</f>
        <v>0</v>
      </c>
      <c r="J68">
        <f>VLOOKUP(O68,BulletType!A$1:F$35,4)</f>
        <v>0</v>
      </c>
      <c r="K68">
        <f>VLOOKUP(O68,BulletType!A$1:F$35,5)</f>
        <v>8</v>
      </c>
      <c r="L68">
        <f>VLOOKUP(O68,BulletType!A$1:F$35,5)</f>
        <v>8</v>
      </c>
      <c r="M68">
        <f>VLOOKUP(O68,BulletType!A$1:F$35,6)</f>
        <v>4</v>
      </c>
      <c r="N68" s="3" t="str">
        <f>VLOOKUP(P68,BulletColor!A$2:B91,2)</f>
        <v>0.625,0.3,0.3</v>
      </c>
      <c r="O68">
        <v>2</v>
      </c>
      <c r="P68" s="2">
        <v>1</v>
      </c>
      <c r="Q68" s="2">
        <f t="shared" si="4"/>
        <v>0</v>
      </c>
    </row>
    <row r="69" spans="1:17" x14ac:dyDescent="0.2">
      <c r="A69" s="1">
        <f t="shared" si="6"/>
        <v>102011</v>
      </c>
      <c r="B69" s="3" t="str">
        <f>VLOOKUP(O69,BulletType!A$1:F$35,2)&amp;VLOOKUP(P69,BulletColor!A$1:C$25,3)</f>
        <v>小玉深红</v>
      </c>
      <c r="C69" s="3" t="str">
        <f t="shared" si="7"/>
        <v>Bullet102010</v>
      </c>
      <c r="D69" s="2">
        <f>VLOOKUP(O69,BulletType!A$2:N117,9)</f>
        <v>0</v>
      </c>
      <c r="E69" s="2">
        <f>VLOOKUP(O69,BulletType!A$2:N117,10)</f>
        <v>0</v>
      </c>
      <c r="F69" s="3" t="str">
        <f>CONCATENATE(VLOOKUP(O69,BulletType!A$2:I$35,8),VLOOKUP(P69,BulletColor!A$2:D$16,4))</f>
        <v>Bullet200010</v>
      </c>
      <c r="G69" s="3" t="str">
        <f>VLOOKUP(O69,BulletType!A$1:G$35,7)</f>
        <v>3,0.75</v>
      </c>
      <c r="H69" s="2">
        <f t="shared" si="5"/>
        <v>1</v>
      </c>
      <c r="I69">
        <f>VLOOKUP(O69,BulletType!A$1:F$35,3)</f>
        <v>0</v>
      </c>
      <c r="J69">
        <f>VLOOKUP(O69,BulletType!A$1:F$35,4)</f>
        <v>0</v>
      </c>
      <c r="K69">
        <f>VLOOKUP(O69,BulletType!A$1:F$35,5)</f>
        <v>8</v>
      </c>
      <c r="L69">
        <f>VLOOKUP(O69,BulletType!A$1:F$35,5)</f>
        <v>8</v>
      </c>
      <c r="M69">
        <f>VLOOKUP(O69,BulletType!A$1:F$35,6)</f>
        <v>4</v>
      </c>
      <c r="N69" s="3" t="str">
        <f>VLOOKUP(P69,BulletColor!A$2:B92,2)</f>
        <v>0.625,0.3,0.3</v>
      </c>
      <c r="O69">
        <v>2</v>
      </c>
      <c r="P69" s="2">
        <v>1</v>
      </c>
      <c r="Q69" s="2">
        <f t="shared" si="4"/>
        <v>1</v>
      </c>
    </row>
    <row r="70" spans="1:17" x14ac:dyDescent="0.2">
      <c r="A70" s="1">
        <f t="shared" si="6"/>
        <v>102020</v>
      </c>
      <c r="B70" s="3" t="str">
        <f>VLOOKUP(O70,BulletType!A$1:F$35,2)&amp;VLOOKUP(P70,BulletColor!A$1:C$25,3)</f>
        <v>小玉红</v>
      </c>
      <c r="C70" s="3" t="str">
        <f t="shared" si="7"/>
        <v>Bullet102020</v>
      </c>
      <c r="D70" s="2">
        <f>VLOOKUP(O70,BulletType!A$2:N118,9)</f>
        <v>0</v>
      </c>
      <c r="E70" s="2">
        <f>VLOOKUP(O70,BulletType!A$2:N118,10)</f>
        <v>0</v>
      </c>
      <c r="F70" s="3" t="str">
        <f>CONCATENATE(VLOOKUP(O70,BulletType!A$2:I$35,8),VLOOKUP(P70,BulletColor!A$2:D$16,4))</f>
        <v>Bullet200010</v>
      </c>
      <c r="G70" s="3" t="str">
        <f>VLOOKUP(O70,BulletType!A$1:G$35,7)</f>
        <v>3,0.75</v>
      </c>
      <c r="H70" s="2">
        <f t="shared" si="5"/>
        <v>0</v>
      </c>
      <c r="I70">
        <f>VLOOKUP(O70,BulletType!A$1:F$35,3)</f>
        <v>0</v>
      </c>
      <c r="J70">
        <f>VLOOKUP(O70,BulletType!A$1:F$35,4)</f>
        <v>0</v>
      </c>
      <c r="K70">
        <f>VLOOKUP(O70,BulletType!A$1:F$35,5)</f>
        <v>8</v>
      </c>
      <c r="L70">
        <f>VLOOKUP(O70,BulletType!A$1:F$35,5)</f>
        <v>8</v>
      </c>
      <c r="M70">
        <f>VLOOKUP(O70,BulletType!A$1:F$35,6)</f>
        <v>4</v>
      </c>
      <c r="N70" s="3" t="str">
        <f>VLOOKUP(P70,BulletColor!A$2:B93,2)</f>
        <v>0.8,0.3,0.3</v>
      </c>
      <c r="O70">
        <v>2</v>
      </c>
      <c r="P70" s="2">
        <v>2</v>
      </c>
      <c r="Q70" s="2">
        <f t="shared" si="4"/>
        <v>0</v>
      </c>
    </row>
    <row r="71" spans="1:17" x14ac:dyDescent="0.2">
      <c r="A71" s="1">
        <f t="shared" si="6"/>
        <v>102021</v>
      </c>
      <c r="B71" s="3" t="str">
        <f>VLOOKUP(O71,BulletType!A$1:F$35,2)&amp;VLOOKUP(P71,BulletColor!A$1:C$25,3)</f>
        <v>小玉红</v>
      </c>
      <c r="C71" s="3" t="str">
        <f t="shared" si="7"/>
        <v>Bullet102020</v>
      </c>
      <c r="D71" s="2">
        <f>VLOOKUP(O71,BulletType!A$2:N119,9)</f>
        <v>0</v>
      </c>
      <c r="E71" s="2">
        <f>VLOOKUP(O71,BulletType!A$2:N119,10)</f>
        <v>0</v>
      </c>
      <c r="F71" s="3" t="str">
        <f>CONCATENATE(VLOOKUP(O71,BulletType!A$2:I$35,8),VLOOKUP(P71,BulletColor!A$2:D$16,4))</f>
        <v>Bullet200010</v>
      </c>
      <c r="G71" s="3" t="str">
        <f>VLOOKUP(O71,BulletType!A$1:G$35,7)</f>
        <v>3,0.75</v>
      </c>
      <c r="H71" s="2">
        <f t="shared" si="5"/>
        <v>1</v>
      </c>
      <c r="I71">
        <f>VLOOKUP(O71,BulletType!A$1:F$35,3)</f>
        <v>0</v>
      </c>
      <c r="J71">
        <f>VLOOKUP(O71,BulletType!A$1:F$35,4)</f>
        <v>0</v>
      </c>
      <c r="K71">
        <f>VLOOKUP(O71,BulletType!A$1:F$35,5)</f>
        <v>8</v>
      </c>
      <c r="L71">
        <f>VLOOKUP(O71,BulletType!A$1:F$35,5)</f>
        <v>8</v>
      </c>
      <c r="M71">
        <f>VLOOKUP(O71,BulletType!A$1:F$35,6)</f>
        <v>4</v>
      </c>
      <c r="N71" s="3" t="str">
        <f>VLOOKUP(P71,BulletColor!A$2:B94,2)</f>
        <v>0.8,0.3,0.3</v>
      </c>
      <c r="O71">
        <v>2</v>
      </c>
      <c r="P71" s="2">
        <v>2</v>
      </c>
      <c r="Q71" s="2">
        <f t="shared" si="4"/>
        <v>1</v>
      </c>
    </row>
    <row r="72" spans="1:17" x14ac:dyDescent="0.2">
      <c r="A72" s="1">
        <f t="shared" si="6"/>
        <v>102030</v>
      </c>
      <c r="B72" s="3" t="str">
        <f>VLOOKUP(O72,BulletType!A$1:F$35,2)&amp;VLOOKUP(P72,BulletColor!A$1:C$25,3)</f>
        <v>小玉深紫</v>
      </c>
      <c r="C72" s="3" t="str">
        <f t="shared" si="7"/>
        <v>Bullet102030</v>
      </c>
      <c r="D72" s="2">
        <f>VLOOKUP(O72,BulletType!A$2:N120,9)</f>
        <v>0</v>
      </c>
      <c r="E72" s="2">
        <f>VLOOKUP(O72,BulletType!A$2:N120,10)</f>
        <v>0</v>
      </c>
      <c r="F72" s="3" t="str">
        <f>CONCATENATE(VLOOKUP(O72,BulletType!A$2:I$35,8),VLOOKUP(P72,BulletColor!A$2:D$16,4))</f>
        <v>Bullet200030</v>
      </c>
      <c r="G72" s="3" t="str">
        <f>VLOOKUP(O72,BulletType!A$1:G$35,7)</f>
        <v>3,0.75</v>
      </c>
      <c r="H72" s="2">
        <f t="shared" si="5"/>
        <v>0</v>
      </c>
      <c r="I72">
        <f>VLOOKUP(O72,BulletType!A$1:F$35,3)</f>
        <v>0</v>
      </c>
      <c r="J72">
        <f>VLOOKUP(O72,BulletType!A$1:F$35,4)</f>
        <v>0</v>
      </c>
      <c r="K72">
        <f>VLOOKUP(O72,BulletType!A$1:F$35,5)</f>
        <v>8</v>
      </c>
      <c r="L72">
        <f>VLOOKUP(O72,BulletType!A$1:F$35,5)</f>
        <v>8</v>
      </c>
      <c r="M72">
        <f>VLOOKUP(O72,BulletType!A$1:F$35,6)</f>
        <v>4</v>
      </c>
      <c r="N72" s="3" t="str">
        <f>VLOOKUP(P72,BulletColor!A$2:B95,2)</f>
        <v>1,0.65,1</v>
      </c>
      <c r="O72">
        <v>2</v>
      </c>
      <c r="P72" s="2">
        <v>3</v>
      </c>
      <c r="Q72" s="2">
        <f t="shared" si="4"/>
        <v>0</v>
      </c>
    </row>
    <row r="73" spans="1:17" x14ac:dyDescent="0.2">
      <c r="A73" s="1">
        <f t="shared" si="6"/>
        <v>102031</v>
      </c>
      <c r="B73" s="3" t="str">
        <f>VLOOKUP(O73,BulletType!A$1:F$35,2)&amp;VLOOKUP(P73,BulletColor!A$1:C$25,3)</f>
        <v>小玉深紫</v>
      </c>
      <c r="C73" s="3" t="str">
        <f t="shared" si="7"/>
        <v>Bullet102030</v>
      </c>
      <c r="D73" s="2">
        <f>VLOOKUP(O73,BulletType!A$2:N121,9)</f>
        <v>0</v>
      </c>
      <c r="E73" s="2">
        <f>VLOOKUP(O73,BulletType!A$2:N121,10)</f>
        <v>0</v>
      </c>
      <c r="F73" s="3" t="str">
        <f>CONCATENATE(VLOOKUP(O73,BulletType!A$2:I$35,8),VLOOKUP(P73,BulletColor!A$2:D$16,4))</f>
        <v>Bullet200030</v>
      </c>
      <c r="G73" s="3" t="str">
        <f>VLOOKUP(O73,BulletType!A$1:G$35,7)</f>
        <v>3,0.75</v>
      </c>
      <c r="H73" s="2">
        <f t="shared" si="5"/>
        <v>1</v>
      </c>
      <c r="I73">
        <f>VLOOKUP(O73,BulletType!A$1:F$35,3)</f>
        <v>0</v>
      </c>
      <c r="J73">
        <f>VLOOKUP(O73,BulletType!A$1:F$35,4)</f>
        <v>0</v>
      </c>
      <c r="K73">
        <f>VLOOKUP(O73,BulletType!A$1:F$35,5)</f>
        <v>8</v>
      </c>
      <c r="L73">
        <f>VLOOKUP(O73,BulletType!A$1:F$35,5)</f>
        <v>8</v>
      </c>
      <c r="M73">
        <f>VLOOKUP(O73,BulletType!A$1:F$35,6)</f>
        <v>4</v>
      </c>
      <c r="N73" s="3" t="str">
        <f>VLOOKUP(P73,BulletColor!A$2:B96,2)</f>
        <v>1,0.65,1</v>
      </c>
      <c r="O73">
        <v>2</v>
      </c>
      <c r="P73" s="2">
        <v>3</v>
      </c>
      <c r="Q73" s="2">
        <f t="shared" ref="Q73:Q136" si="8">MOD((ROW()-2),2)</f>
        <v>1</v>
      </c>
    </row>
    <row r="74" spans="1:17" x14ac:dyDescent="0.2">
      <c r="A74" s="1">
        <f t="shared" si="6"/>
        <v>102040</v>
      </c>
      <c r="B74" s="3" t="str">
        <f>VLOOKUP(O74,BulletType!A$1:F$35,2)&amp;VLOOKUP(P74,BulletColor!A$1:C$25,3)</f>
        <v>小玉紫</v>
      </c>
      <c r="C74" s="3" t="str">
        <f t="shared" si="7"/>
        <v>Bullet102040</v>
      </c>
      <c r="D74" s="2">
        <f>VLOOKUP(O74,BulletType!A$2:N122,9)</f>
        <v>0</v>
      </c>
      <c r="E74" s="2">
        <f>VLOOKUP(O74,BulletType!A$2:N122,10)</f>
        <v>0</v>
      </c>
      <c r="F74" s="3" t="str">
        <f>CONCATENATE(VLOOKUP(O74,BulletType!A$2:I$35,8),VLOOKUP(P74,BulletColor!A$2:D$16,4))</f>
        <v>Bullet200030</v>
      </c>
      <c r="G74" s="3" t="str">
        <f>VLOOKUP(O74,BulletType!A$1:G$35,7)</f>
        <v>3,0.75</v>
      </c>
      <c r="H74" s="2">
        <f t="shared" si="5"/>
        <v>0</v>
      </c>
      <c r="I74">
        <f>VLOOKUP(O74,BulletType!A$1:F$35,3)</f>
        <v>0</v>
      </c>
      <c r="J74">
        <f>VLOOKUP(O74,BulletType!A$1:F$35,4)</f>
        <v>0</v>
      </c>
      <c r="K74">
        <f>VLOOKUP(O74,BulletType!A$1:F$35,5)</f>
        <v>8</v>
      </c>
      <c r="L74">
        <f>VLOOKUP(O74,BulletType!A$1:F$35,5)</f>
        <v>8</v>
      </c>
      <c r="M74">
        <f>VLOOKUP(O74,BulletType!A$1:F$35,6)</f>
        <v>4</v>
      </c>
      <c r="N74" s="3" t="str">
        <f>VLOOKUP(P74,BulletColor!A$2:B97,2)</f>
        <v>1,0.65,1</v>
      </c>
      <c r="O74">
        <v>2</v>
      </c>
      <c r="P74" s="2">
        <v>4</v>
      </c>
      <c r="Q74" s="2">
        <f t="shared" si="8"/>
        <v>0</v>
      </c>
    </row>
    <row r="75" spans="1:17" x14ac:dyDescent="0.2">
      <c r="A75" s="1">
        <f t="shared" si="6"/>
        <v>102041</v>
      </c>
      <c r="B75" s="3" t="str">
        <f>VLOOKUP(O75,BulletType!A$1:F$35,2)&amp;VLOOKUP(P75,BulletColor!A$1:C$25,3)</f>
        <v>小玉紫</v>
      </c>
      <c r="C75" s="3" t="str">
        <f t="shared" si="7"/>
        <v>Bullet102040</v>
      </c>
      <c r="D75" s="2">
        <f>VLOOKUP(O75,BulletType!A$2:N123,9)</f>
        <v>0</v>
      </c>
      <c r="E75" s="2">
        <f>VLOOKUP(O75,BulletType!A$2:N123,10)</f>
        <v>0</v>
      </c>
      <c r="F75" s="3" t="str">
        <f>CONCATENATE(VLOOKUP(O75,BulletType!A$2:I$35,8),VLOOKUP(P75,BulletColor!A$2:D$16,4))</f>
        <v>Bullet200030</v>
      </c>
      <c r="G75" s="3" t="str">
        <f>VLOOKUP(O75,BulletType!A$1:G$35,7)</f>
        <v>3,0.75</v>
      </c>
      <c r="H75" s="2">
        <f t="shared" si="5"/>
        <v>1</v>
      </c>
      <c r="I75">
        <f>VLOOKUP(O75,BulletType!A$1:F$35,3)</f>
        <v>0</v>
      </c>
      <c r="J75">
        <f>VLOOKUP(O75,BulletType!A$1:F$35,4)</f>
        <v>0</v>
      </c>
      <c r="K75">
        <f>VLOOKUP(O75,BulletType!A$1:F$35,5)</f>
        <v>8</v>
      </c>
      <c r="L75">
        <f>VLOOKUP(O75,BulletType!A$1:F$35,5)</f>
        <v>8</v>
      </c>
      <c r="M75">
        <f>VLOOKUP(O75,BulletType!A$1:F$35,6)</f>
        <v>4</v>
      </c>
      <c r="N75" s="3" t="str">
        <f>VLOOKUP(P75,BulletColor!A$2:B98,2)</f>
        <v>1,0.65,1</v>
      </c>
      <c r="O75">
        <v>2</v>
      </c>
      <c r="P75" s="2">
        <v>4</v>
      </c>
      <c r="Q75" s="2">
        <f t="shared" si="8"/>
        <v>1</v>
      </c>
    </row>
    <row r="76" spans="1:17" x14ac:dyDescent="0.2">
      <c r="A76" s="1">
        <f t="shared" si="6"/>
        <v>102050</v>
      </c>
      <c r="B76" s="3" t="str">
        <f>VLOOKUP(O76,BulletType!A$1:F$35,2)&amp;VLOOKUP(P76,BulletColor!A$1:C$25,3)</f>
        <v>小玉深蓝</v>
      </c>
      <c r="C76" s="3" t="str">
        <f t="shared" si="7"/>
        <v>Bullet102050</v>
      </c>
      <c r="D76" s="2">
        <f>VLOOKUP(O76,BulletType!A$2:N124,9)</f>
        <v>0</v>
      </c>
      <c r="E76" s="2">
        <f>VLOOKUP(O76,BulletType!A$2:N124,10)</f>
        <v>0</v>
      </c>
      <c r="F76" s="3" t="str">
        <f>CONCATENATE(VLOOKUP(O76,BulletType!A$2:I$35,8),VLOOKUP(P76,BulletColor!A$2:D$16,4))</f>
        <v>Bullet200050</v>
      </c>
      <c r="G76" s="3" t="str">
        <f>VLOOKUP(O76,BulletType!A$1:G$35,7)</f>
        <v>3,0.75</v>
      </c>
      <c r="H76" s="2">
        <f t="shared" si="5"/>
        <v>0</v>
      </c>
      <c r="I76">
        <f>VLOOKUP(O76,BulletType!A$1:F$35,3)</f>
        <v>0</v>
      </c>
      <c r="J76">
        <f>VLOOKUP(O76,BulletType!A$1:F$35,4)</f>
        <v>0</v>
      </c>
      <c r="K76">
        <f>VLOOKUP(O76,BulletType!A$1:F$35,5)</f>
        <v>8</v>
      </c>
      <c r="L76">
        <f>VLOOKUP(O76,BulletType!A$1:F$35,5)</f>
        <v>8</v>
      </c>
      <c r="M76">
        <f>VLOOKUP(O76,BulletType!A$1:F$35,6)</f>
        <v>4</v>
      </c>
      <c r="N76" s="3" t="str">
        <f>VLOOKUP(P76,BulletColor!A$2:B99,2)</f>
        <v>0,0.1,1</v>
      </c>
      <c r="O76">
        <v>2</v>
      </c>
      <c r="P76" s="2">
        <v>5</v>
      </c>
      <c r="Q76" s="2">
        <f t="shared" si="8"/>
        <v>0</v>
      </c>
    </row>
    <row r="77" spans="1:17" x14ac:dyDescent="0.2">
      <c r="A77" s="1">
        <f t="shared" si="6"/>
        <v>102051</v>
      </c>
      <c r="B77" s="3" t="str">
        <f>VLOOKUP(O77,BulletType!A$1:F$35,2)&amp;VLOOKUP(P77,BulletColor!A$1:C$25,3)</f>
        <v>小玉深蓝</v>
      </c>
      <c r="C77" s="3" t="str">
        <f t="shared" si="7"/>
        <v>Bullet102050</v>
      </c>
      <c r="D77" s="2">
        <f>VLOOKUP(O77,BulletType!A$2:N125,9)</f>
        <v>0</v>
      </c>
      <c r="E77" s="2">
        <f>VLOOKUP(O77,BulletType!A$2:N125,10)</f>
        <v>0</v>
      </c>
      <c r="F77" s="3" t="str">
        <f>CONCATENATE(VLOOKUP(O77,BulletType!A$2:I$35,8),VLOOKUP(P77,BulletColor!A$2:D$16,4))</f>
        <v>Bullet200050</v>
      </c>
      <c r="G77" s="3" t="str">
        <f>VLOOKUP(O77,BulletType!A$1:G$35,7)</f>
        <v>3,0.75</v>
      </c>
      <c r="H77" s="2">
        <f t="shared" si="5"/>
        <v>1</v>
      </c>
      <c r="I77">
        <f>VLOOKUP(O77,BulletType!A$1:F$35,3)</f>
        <v>0</v>
      </c>
      <c r="J77">
        <f>VLOOKUP(O77,BulletType!A$1:F$35,4)</f>
        <v>0</v>
      </c>
      <c r="K77">
        <f>VLOOKUP(O77,BulletType!A$1:F$35,5)</f>
        <v>8</v>
      </c>
      <c r="L77">
        <f>VLOOKUP(O77,BulletType!A$1:F$35,5)</f>
        <v>8</v>
      </c>
      <c r="M77">
        <f>VLOOKUP(O77,BulletType!A$1:F$35,6)</f>
        <v>4</v>
      </c>
      <c r="N77" s="3" t="str">
        <f>VLOOKUP(P77,BulletColor!A$2:B100,2)</f>
        <v>0,0.1,1</v>
      </c>
      <c r="O77">
        <v>2</v>
      </c>
      <c r="P77" s="2">
        <v>5</v>
      </c>
      <c r="Q77" s="2">
        <f t="shared" si="8"/>
        <v>1</v>
      </c>
    </row>
    <row r="78" spans="1:17" x14ac:dyDescent="0.2">
      <c r="A78" s="1">
        <f t="shared" si="6"/>
        <v>102060</v>
      </c>
      <c r="B78" s="3" t="str">
        <f>VLOOKUP(O78,BulletType!A$1:F$35,2)&amp;VLOOKUP(P78,BulletColor!A$1:C$25,3)</f>
        <v>小玉蓝</v>
      </c>
      <c r="C78" s="3" t="str">
        <f t="shared" si="7"/>
        <v>Bullet102060</v>
      </c>
      <c r="D78" s="2">
        <f>VLOOKUP(O78,BulletType!A$2:N126,9)</f>
        <v>0</v>
      </c>
      <c r="E78" s="2">
        <f>VLOOKUP(O78,BulletType!A$2:N126,10)</f>
        <v>0</v>
      </c>
      <c r="F78" s="3" t="str">
        <f>CONCATENATE(VLOOKUP(O78,BulletType!A$2:I$35,8),VLOOKUP(P78,BulletColor!A$2:D$16,4))</f>
        <v>Bullet200050</v>
      </c>
      <c r="G78" s="3" t="str">
        <f>VLOOKUP(O78,BulletType!A$1:G$35,7)</f>
        <v>3,0.75</v>
      </c>
      <c r="H78" s="2">
        <f t="shared" si="5"/>
        <v>0</v>
      </c>
      <c r="I78">
        <f>VLOOKUP(O78,BulletType!A$1:F$35,3)</f>
        <v>0</v>
      </c>
      <c r="J78">
        <f>VLOOKUP(O78,BulletType!A$1:F$35,4)</f>
        <v>0</v>
      </c>
      <c r="K78">
        <f>VLOOKUP(O78,BulletType!A$1:F$35,5)</f>
        <v>8</v>
      </c>
      <c r="L78">
        <f>VLOOKUP(O78,BulletType!A$1:F$35,5)</f>
        <v>8</v>
      </c>
      <c r="M78">
        <f>VLOOKUP(O78,BulletType!A$1:F$35,6)</f>
        <v>4</v>
      </c>
      <c r="N78" s="3" t="str">
        <f>VLOOKUP(P78,BulletColor!A$2:B101,2)</f>
        <v>0,0.1,1</v>
      </c>
      <c r="O78">
        <v>2</v>
      </c>
      <c r="P78" s="2">
        <v>6</v>
      </c>
      <c r="Q78" s="2">
        <f t="shared" si="8"/>
        <v>0</v>
      </c>
    </row>
    <row r="79" spans="1:17" x14ac:dyDescent="0.2">
      <c r="A79" s="1">
        <f t="shared" si="6"/>
        <v>102061</v>
      </c>
      <c r="B79" s="3" t="str">
        <f>VLOOKUP(O79,BulletType!A$1:F$35,2)&amp;VLOOKUP(P79,BulletColor!A$1:C$25,3)</f>
        <v>小玉蓝</v>
      </c>
      <c r="C79" s="3" t="str">
        <f t="shared" si="7"/>
        <v>Bullet102060</v>
      </c>
      <c r="D79" s="2">
        <f>VLOOKUP(O79,BulletType!A$2:N127,9)</f>
        <v>0</v>
      </c>
      <c r="E79" s="2">
        <f>VLOOKUP(O79,BulletType!A$2:N127,10)</f>
        <v>0</v>
      </c>
      <c r="F79" s="3" t="str">
        <f>CONCATENATE(VLOOKUP(O79,BulletType!A$2:I$35,8),VLOOKUP(P79,BulletColor!A$2:D$16,4))</f>
        <v>Bullet200050</v>
      </c>
      <c r="G79" s="3" t="str">
        <f>VLOOKUP(O79,BulletType!A$1:G$35,7)</f>
        <v>3,0.75</v>
      </c>
      <c r="H79" s="2">
        <f t="shared" si="5"/>
        <v>1</v>
      </c>
      <c r="I79">
        <f>VLOOKUP(O79,BulletType!A$1:F$35,3)</f>
        <v>0</v>
      </c>
      <c r="J79">
        <f>VLOOKUP(O79,BulletType!A$1:F$35,4)</f>
        <v>0</v>
      </c>
      <c r="K79">
        <f>VLOOKUP(O79,BulletType!A$1:F$35,5)</f>
        <v>8</v>
      </c>
      <c r="L79">
        <f>VLOOKUP(O79,BulletType!A$1:F$35,5)</f>
        <v>8</v>
      </c>
      <c r="M79">
        <f>VLOOKUP(O79,BulletType!A$1:F$35,6)</f>
        <v>4</v>
      </c>
      <c r="N79" s="3" t="str">
        <f>VLOOKUP(P79,BulletColor!A$2:B102,2)</f>
        <v>0,0.1,1</v>
      </c>
      <c r="O79">
        <v>2</v>
      </c>
      <c r="P79" s="2">
        <v>6</v>
      </c>
      <c r="Q79" s="2">
        <f t="shared" si="8"/>
        <v>1</v>
      </c>
    </row>
    <row r="80" spans="1:17" x14ac:dyDescent="0.2">
      <c r="A80" s="1">
        <f t="shared" si="6"/>
        <v>102070</v>
      </c>
      <c r="B80" s="3" t="str">
        <f>VLOOKUP(O80,BulletType!A$1:F$35,2)&amp;VLOOKUP(P80,BulletColor!A$1:C$25,3)</f>
        <v>小玉深青</v>
      </c>
      <c r="C80" s="3" t="str">
        <f t="shared" si="7"/>
        <v>Bullet102070</v>
      </c>
      <c r="D80" s="2">
        <f>VLOOKUP(O80,BulletType!A$2:N128,9)</f>
        <v>0</v>
      </c>
      <c r="E80" s="2">
        <f>VLOOKUP(O80,BulletType!A$2:N128,10)</f>
        <v>0</v>
      </c>
      <c r="F80" s="3" t="str">
        <f>CONCATENATE(VLOOKUP(O80,BulletType!A$2:I$35,8),VLOOKUP(P80,BulletColor!A$2:D$16,4))</f>
        <v>Bullet200070</v>
      </c>
      <c r="G80" s="3" t="str">
        <f>VLOOKUP(O80,BulletType!A$1:G$35,7)</f>
        <v>3,0.75</v>
      </c>
      <c r="H80" s="2">
        <f t="shared" si="5"/>
        <v>0</v>
      </c>
      <c r="I80">
        <f>VLOOKUP(O80,BulletType!A$1:F$35,3)</f>
        <v>0</v>
      </c>
      <c r="J80">
        <f>VLOOKUP(O80,BulletType!A$1:F$35,4)</f>
        <v>0</v>
      </c>
      <c r="K80">
        <f>VLOOKUP(O80,BulletType!A$1:F$35,5)</f>
        <v>8</v>
      </c>
      <c r="L80">
        <f>VLOOKUP(O80,BulletType!A$1:F$35,5)</f>
        <v>8</v>
      </c>
      <c r="M80">
        <f>VLOOKUP(O80,BulletType!A$1:F$35,6)</f>
        <v>4</v>
      </c>
      <c r="N80" s="3" t="str">
        <f>VLOOKUP(P80,BulletColor!A$2:B103,2)</f>
        <v>0.25,1,1</v>
      </c>
      <c r="O80">
        <v>2</v>
      </c>
      <c r="P80" s="2">
        <v>7</v>
      </c>
      <c r="Q80" s="2">
        <f t="shared" si="8"/>
        <v>0</v>
      </c>
    </row>
    <row r="81" spans="1:17" x14ac:dyDescent="0.2">
      <c r="A81" s="1">
        <f t="shared" si="6"/>
        <v>102071</v>
      </c>
      <c r="B81" s="3" t="str">
        <f>VLOOKUP(O81,BulletType!A$1:F$35,2)&amp;VLOOKUP(P81,BulletColor!A$1:C$25,3)</f>
        <v>小玉深青</v>
      </c>
      <c r="C81" s="3" t="str">
        <f t="shared" si="7"/>
        <v>Bullet102070</v>
      </c>
      <c r="D81" s="2">
        <f>VLOOKUP(O81,BulletType!A$2:N129,9)</f>
        <v>0</v>
      </c>
      <c r="E81" s="2">
        <f>VLOOKUP(O81,BulletType!A$2:N129,10)</f>
        <v>0</v>
      </c>
      <c r="F81" s="3" t="str">
        <f>CONCATENATE(VLOOKUP(O81,BulletType!A$2:I$35,8),VLOOKUP(P81,BulletColor!A$2:D$16,4))</f>
        <v>Bullet200070</v>
      </c>
      <c r="G81" s="3" t="str">
        <f>VLOOKUP(O81,BulletType!A$1:G$35,7)</f>
        <v>3,0.75</v>
      </c>
      <c r="H81" s="2">
        <f t="shared" si="5"/>
        <v>1</v>
      </c>
      <c r="I81">
        <f>VLOOKUP(O81,BulletType!A$1:F$35,3)</f>
        <v>0</v>
      </c>
      <c r="J81">
        <f>VLOOKUP(O81,BulletType!A$1:F$35,4)</f>
        <v>0</v>
      </c>
      <c r="K81">
        <f>VLOOKUP(O81,BulletType!A$1:F$35,5)</f>
        <v>8</v>
      </c>
      <c r="L81">
        <f>VLOOKUP(O81,BulletType!A$1:F$35,5)</f>
        <v>8</v>
      </c>
      <c r="M81">
        <f>VLOOKUP(O81,BulletType!A$1:F$35,6)</f>
        <v>4</v>
      </c>
      <c r="N81" s="3" t="str">
        <f>VLOOKUP(P81,BulletColor!A$2:B104,2)</f>
        <v>0.25,1,1</v>
      </c>
      <c r="O81">
        <v>2</v>
      </c>
      <c r="P81" s="2">
        <v>7</v>
      </c>
      <c r="Q81" s="2">
        <f t="shared" si="8"/>
        <v>1</v>
      </c>
    </row>
    <row r="82" spans="1:17" x14ac:dyDescent="0.2">
      <c r="A82" s="1">
        <f t="shared" si="6"/>
        <v>102080</v>
      </c>
      <c r="B82" s="3" t="str">
        <f>VLOOKUP(O82,BulletType!A$1:F$35,2)&amp;VLOOKUP(P82,BulletColor!A$1:C$25,3)</f>
        <v>小玉青</v>
      </c>
      <c r="C82" s="3" t="str">
        <f t="shared" si="7"/>
        <v>Bullet102080</v>
      </c>
      <c r="D82" s="2">
        <f>VLOOKUP(O82,BulletType!A$2:N130,9)</f>
        <v>0</v>
      </c>
      <c r="E82" s="2">
        <f>VLOOKUP(O82,BulletType!A$2:N130,10)</f>
        <v>0</v>
      </c>
      <c r="F82" s="3" t="str">
        <f>CONCATENATE(VLOOKUP(O82,BulletType!A$2:I$35,8),VLOOKUP(P82,BulletColor!A$2:D$16,4))</f>
        <v>Bullet200070</v>
      </c>
      <c r="G82" s="3" t="str">
        <f>VLOOKUP(O82,BulletType!A$1:G$35,7)</f>
        <v>3,0.75</v>
      </c>
      <c r="H82" s="2">
        <f t="shared" si="5"/>
        <v>0</v>
      </c>
      <c r="I82">
        <f>VLOOKUP(O82,BulletType!A$1:F$35,3)</f>
        <v>0</v>
      </c>
      <c r="J82">
        <f>VLOOKUP(O82,BulletType!A$1:F$35,4)</f>
        <v>0</v>
      </c>
      <c r="K82">
        <f>VLOOKUP(O82,BulletType!A$1:F$35,5)</f>
        <v>8</v>
      </c>
      <c r="L82">
        <f>VLOOKUP(O82,BulletType!A$1:F$35,5)</f>
        <v>8</v>
      </c>
      <c r="M82">
        <f>VLOOKUP(O82,BulletType!A$1:F$35,6)</f>
        <v>4</v>
      </c>
      <c r="N82" s="3" t="str">
        <f>VLOOKUP(P82,BulletColor!A$2:B105,2)</f>
        <v>0.25,1,1</v>
      </c>
      <c r="O82">
        <v>2</v>
      </c>
      <c r="P82" s="2">
        <v>8</v>
      </c>
      <c r="Q82" s="2">
        <f t="shared" si="8"/>
        <v>0</v>
      </c>
    </row>
    <row r="83" spans="1:17" x14ac:dyDescent="0.2">
      <c r="A83" s="1">
        <f t="shared" si="6"/>
        <v>102081</v>
      </c>
      <c r="B83" s="3" t="str">
        <f>VLOOKUP(O83,BulletType!A$1:F$35,2)&amp;VLOOKUP(P83,BulletColor!A$1:C$25,3)</f>
        <v>小玉青</v>
      </c>
      <c r="C83" s="3" t="str">
        <f t="shared" si="7"/>
        <v>Bullet102080</v>
      </c>
      <c r="D83" s="2">
        <f>VLOOKUP(O83,BulletType!A$2:N131,9)</f>
        <v>0</v>
      </c>
      <c r="E83" s="2">
        <f>VLOOKUP(O83,BulletType!A$2:N131,10)</f>
        <v>0</v>
      </c>
      <c r="F83" s="3" t="str">
        <f>CONCATENATE(VLOOKUP(O83,BulletType!A$2:I$35,8),VLOOKUP(P83,BulletColor!A$2:D$16,4))</f>
        <v>Bullet200070</v>
      </c>
      <c r="G83" s="3" t="str">
        <f>VLOOKUP(O83,BulletType!A$1:G$35,7)</f>
        <v>3,0.75</v>
      </c>
      <c r="H83" s="2">
        <f t="shared" si="5"/>
        <v>1</v>
      </c>
      <c r="I83">
        <f>VLOOKUP(O83,BulletType!A$1:F$35,3)</f>
        <v>0</v>
      </c>
      <c r="J83">
        <f>VLOOKUP(O83,BulletType!A$1:F$35,4)</f>
        <v>0</v>
      </c>
      <c r="K83">
        <f>VLOOKUP(O83,BulletType!A$1:F$35,5)</f>
        <v>8</v>
      </c>
      <c r="L83">
        <f>VLOOKUP(O83,BulletType!A$1:F$35,5)</f>
        <v>8</v>
      </c>
      <c r="M83">
        <f>VLOOKUP(O83,BulletType!A$1:F$35,6)</f>
        <v>4</v>
      </c>
      <c r="N83" s="3" t="str">
        <f>VLOOKUP(P83,BulletColor!A$2:B106,2)</f>
        <v>0.25,1,1</v>
      </c>
      <c r="O83">
        <v>2</v>
      </c>
      <c r="P83" s="2">
        <v>8</v>
      </c>
      <c r="Q83" s="2">
        <f t="shared" si="8"/>
        <v>1</v>
      </c>
    </row>
    <row r="84" spans="1:17" x14ac:dyDescent="0.2">
      <c r="A84" s="1">
        <f t="shared" si="6"/>
        <v>102090</v>
      </c>
      <c r="B84" s="3" t="str">
        <f>VLOOKUP(O84,BulletType!A$1:F$35,2)&amp;VLOOKUP(P84,BulletColor!A$1:C$25,3)</f>
        <v>小玉深绿</v>
      </c>
      <c r="C84" s="3" t="str">
        <f t="shared" si="7"/>
        <v>Bullet102090</v>
      </c>
      <c r="D84" s="2">
        <f>VLOOKUP(O84,BulletType!A$2:N132,9)</f>
        <v>0</v>
      </c>
      <c r="E84" s="2">
        <f>VLOOKUP(O84,BulletType!A$2:N132,10)</f>
        <v>0</v>
      </c>
      <c r="F84" s="3" t="str">
        <f>CONCATENATE(VLOOKUP(O84,BulletType!A$2:I$35,8),VLOOKUP(P84,BulletColor!A$2:D$16,4))</f>
        <v>Bullet200090</v>
      </c>
      <c r="G84" s="3" t="str">
        <f>VLOOKUP(O84,BulletType!A$1:G$35,7)</f>
        <v>3,0.75</v>
      </c>
      <c r="H84" s="2">
        <f t="shared" si="5"/>
        <v>0</v>
      </c>
      <c r="I84">
        <f>VLOOKUP(O84,BulletType!A$1:F$35,3)</f>
        <v>0</v>
      </c>
      <c r="J84">
        <f>VLOOKUP(O84,BulletType!A$1:F$35,4)</f>
        <v>0</v>
      </c>
      <c r="K84">
        <f>VLOOKUP(O84,BulletType!A$1:F$35,5)</f>
        <v>8</v>
      </c>
      <c r="L84">
        <f>VLOOKUP(O84,BulletType!A$1:F$35,5)</f>
        <v>8</v>
      </c>
      <c r="M84">
        <f>VLOOKUP(O84,BulletType!A$1:F$35,6)</f>
        <v>4</v>
      </c>
      <c r="N84" s="3" t="str">
        <f>VLOOKUP(P84,BulletColor!A$2:B107,2)</f>
        <v>0.36,0.78,1</v>
      </c>
      <c r="O84">
        <v>2</v>
      </c>
      <c r="P84" s="2">
        <v>9</v>
      </c>
      <c r="Q84" s="2">
        <f t="shared" si="8"/>
        <v>0</v>
      </c>
    </row>
    <row r="85" spans="1:17" x14ac:dyDescent="0.2">
      <c r="A85" s="1">
        <f t="shared" si="6"/>
        <v>102091</v>
      </c>
      <c r="B85" s="3" t="str">
        <f>VLOOKUP(O85,BulletType!A$1:F$35,2)&amp;VLOOKUP(P85,BulletColor!A$1:C$25,3)</f>
        <v>小玉深绿</v>
      </c>
      <c r="C85" s="3" t="str">
        <f t="shared" si="7"/>
        <v>Bullet102090</v>
      </c>
      <c r="D85" s="2">
        <f>VLOOKUP(O85,BulletType!A$2:N133,9)</f>
        <v>0</v>
      </c>
      <c r="E85" s="2">
        <f>VLOOKUP(O85,BulletType!A$2:N133,10)</f>
        <v>0</v>
      </c>
      <c r="F85" s="3" t="str">
        <f>CONCATENATE(VLOOKUP(O85,BulletType!A$2:I$35,8),VLOOKUP(P85,BulletColor!A$2:D$16,4))</f>
        <v>Bullet200090</v>
      </c>
      <c r="G85" s="3" t="str">
        <f>VLOOKUP(O85,BulletType!A$1:G$35,7)</f>
        <v>3,0.75</v>
      </c>
      <c r="H85" s="2">
        <f t="shared" si="5"/>
        <v>1</v>
      </c>
      <c r="I85">
        <f>VLOOKUP(O85,BulletType!A$1:F$35,3)</f>
        <v>0</v>
      </c>
      <c r="J85">
        <f>VLOOKUP(O85,BulletType!A$1:F$35,4)</f>
        <v>0</v>
      </c>
      <c r="K85">
        <f>VLOOKUP(O85,BulletType!A$1:F$35,5)</f>
        <v>8</v>
      </c>
      <c r="L85">
        <f>VLOOKUP(O85,BulletType!A$1:F$35,5)</f>
        <v>8</v>
      </c>
      <c r="M85">
        <f>VLOOKUP(O85,BulletType!A$1:F$35,6)</f>
        <v>4</v>
      </c>
      <c r="N85" s="3" t="str">
        <f>VLOOKUP(P85,BulletColor!A$2:B108,2)</f>
        <v>0.36,0.78,1</v>
      </c>
      <c r="O85">
        <v>2</v>
      </c>
      <c r="P85" s="2">
        <v>9</v>
      </c>
      <c r="Q85" s="2">
        <f t="shared" si="8"/>
        <v>1</v>
      </c>
    </row>
    <row r="86" spans="1:17" x14ac:dyDescent="0.2">
      <c r="A86" s="1">
        <f t="shared" si="6"/>
        <v>102100</v>
      </c>
      <c r="B86" s="3" t="str">
        <f>VLOOKUP(O86,BulletType!A$1:F$35,2)&amp;VLOOKUP(P86,BulletColor!A$1:C$25,3)</f>
        <v>小玉绿</v>
      </c>
      <c r="C86" s="3" t="str">
        <f t="shared" si="7"/>
        <v>Bullet102100</v>
      </c>
      <c r="D86" s="2">
        <f>VLOOKUP(O86,BulletType!A$2:N134,9)</f>
        <v>0</v>
      </c>
      <c r="E86" s="2">
        <f>VLOOKUP(O86,BulletType!A$2:N134,10)</f>
        <v>0</v>
      </c>
      <c r="F86" s="3" t="str">
        <f>CONCATENATE(VLOOKUP(O86,BulletType!A$2:I$35,8),VLOOKUP(P86,BulletColor!A$2:D$16,4))</f>
        <v>Bullet200090</v>
      </c>
      <c r="G86" s="3" t="str">
        <f>VLOOKUP(O86,BulletType!A$1:G$35,7)</f>
        <v>3,0.75</v>
      </c>
      <c r="H86" s="2">
        <f t="shared" si="5"/>
        <v>0</v>
      </c>
      <c r="I86">
        <f>VLOOKUP(O86,BulletType!A$1:F$35,3)</f>
        <v>0</v>
      </c>
      <c r="J86">
        <f>VLOOKUP(O86,BulletType!A$1:F$35,4)</f>
        <v>0</v>
      </c>
      <c r="K86">
        <f>VLOOKUP(O86,BulletType!A$1:F$35,5)</f>
        <v>8</v>
      </c>
      <c r="L86">
        <f>VLOOKUP(O86,BulletType!A$1:F$35,5)</f>
        <v>8</v>
      </c>
      <c r="M86">
        <f>VLOOKUP(O86,BulletType!A$1:F$35,6)</f>
        <v>4</v>
      </c>
      <c r="N86" s="3" t="str">
        <f>VLOOKUP(P86,BulletColor!A$2:B109,2)</f>
        <v>0.36,0.78,1</v>
      </c>
      <c r="O86">
        <v>2</v>
      </c>
      <c r="P86" s="2">
        <v>10</v>
      </c>
      <c r="Q86" s="2">
        <f t="shared" si="8"/>
        <v>0</v>
      </c>
    </row>
    <row r="87" spans="1:17" x14ac:dyDescent="0.2">
      <c r="A87" s="1">
        <f t="shared" si="6"/>
        <v>102101</v>
      </c>
      <c r="B87" s="3" t="str">
        <f>VLOOKUP(O87,BulletType!A$1:F$35,2)&amp;VLOOKUP(P87,BulletColor!A$1:C$25,3)</f>
        <v>小玉绿</v>
      </c>
      <c r="C87" s="3" t="str">
        <f t="shared" si="7"/>
        <v>Bullet102100</v>
      </c>
      <c r="D87" s="2">
        <f>VLOOKUP(O87,BulletType!A$2:N135,9)</f>
        <v>0</v>
      </c>
      <c r="E87" s="2">
        <f>VLOOKUP(O87,BulletType!A$2:N135,10)</f>
        <v>0</v>
      </c>
      <c r="F87" s="3" t="str">
        <f>CONCATENATE(VLOOKUP(O87,BulletType!A$2:I$35,8),VLOOKUP(P87,BulletColor!A$2:D$16,4))</f>
        <v>Bullet200090</v>
      </c>
      <c r="G87" s="3" t="str">
        <f>VLOOKUP(O87,BulletType!A$1:G$35,7)</f>
        <v>3,0.75</v>
      </c>
      <c r="H87" s="2">
        <f t="shared" si="5"/>
        <v>1</v>
      </c>
      <c r="I87">
        <f>VLOOKUP(O87,BulletType!A$1:F$35,3)</f>
        <v>0</v>
      </c>
      <c r="J87">
        <f>VLOOKUP(O87,BulletType!A$1:F$35,4)</f>
        <v>0</v>
      </c>
      <c r="K87">
        <f>VLOOKUP(O87,BulletType!A$1:F$35,5)</f>
        <v>8</v>
      </c>
      <c r="L87">
        <f>VLOOKUP(O87,BulletType!A$1:F$35,5)</f>
        <v>8</v>
      </c>
      <c r="M87">
        <f>VLOOKUP(O87,BulletType!A$1:F$35,6)</f>
        <v>4</v>
      </c>
      <c r="N87" s="3" t="str">
        <f>VLOOKUP(P87,BulletColor!A$2:B110,2)</f>
        <v>0.36,0.78,1</v>
      </c>
      <c r="O87">
        <v>2</v>
      </c>
      <c r="P87" s="2">
        <v>10</v>
      </c>
      <c r="Q87" s="2">
        <f t="shared" si="8"/>
        <v>1</v>
      </c>
    </row>
    <row r="88" spans="1:17" x14ac:dyDescent="0.2">
      <c r="A88" s="1">
        <f t="shared" si="6"/>
        <v>102110</v>
      </c>
      <c r="B88" s="3" t="str">
        <f>VLOOKUP(O88,BulletType!A$1:F$35,2)&amp;VLOOKUP(P88,BulletColor!A$1:C$25,3)</f>
        <v>小玉黄绿</v>
      </c>
      <c r="C88" s="3" t="str">
        <f t="shared" si="7"/>
        <v>Bullet102110</v>
      </c>
      <c r="D88" s="2">
        <f>VLOOKUP(O88,BulletType!A$2:N136,9)</f>
        <v>0</v>
      </c>
      <c r="E88" s="2">
        <f>VLOOKUP(O88,BulletType!A$2:N136,10)</f>
        <v>0</v>
      </c>
      <c r="F88" s="3" t="str">
        <f>CONCATENATE(VLOOKUP(O88,BulletType!A$2:I$35,8),VLOOKUP(P88,BulletColor!A$2:D$16,4))</f>
        <v>Bullet200090</v>
      </c>
      <c r="G88" s="3" t="str">
        <f>VLOOKUP(O88,BulletType!A$1:G$35,7)</f>
        <v>3,0.75</v>
      </c>
      <c r="H88" s="2">
        <f t="shared" si="5"/>
        <v>0</v>
      </c>
      <c r="I88">
        <f>VLOOKUP(O88,BulletType!A$1:F$35,3)</f>
        <v>0</v>
      </c>
      <c r="J88">
        <f>VLOOKUP(O88,BulletType!A$1:F$35,4)</f>
        <v>0</v>
      </c>
      <c r="K88">
        <f>VLOOKUP(O88,BulletType!A$1:F$35,5)</f>
        <v>8</v>
      </c>
      <c r="L88">
        <f>VLOOKUP(O88,BulletType!A$1:F$35,5)</f>
        <v>8</v>
      </c>
      <c r="M88">
        <f>VLOOKUP(O88,BulletType!A$1:F$35,6)</f>
        <v>4</v>
      </c>
      <c r="N88" s="3" t="str">
        <f>VLOOKUP(P88,BulletColor!A$2:B111,2)</f>
        <v>0.9,1,0.4</v>
      </c>
      <c r="O88">
        <v>2</v>
      </c>
      <c r="P88" s="2">
        <v>11</v>
      </c>
      <c r="Q88" s="2">
        <f t="shared" si="8"/>
        <v>0</v>
      </c>
    </row>
    <row r="89" spans="1:17" x14ac:dyDescent="0.2">
      <c r="A89" s="1">
        <f t="shared" si="6"/>
        <v>102111</v>
      </c>
      <c r="B89" s="3" t="str">
        <f>VLOOKUP(O89,BulletType!A$1:F$35,2)&amp;VLOOKUP(P89,BulletColor!A$1:C$25,3)</f>
        <v>小玉黄绿</v>
      </c>
      <c r="C89" s="3" t="str">
        <f t="shared" si="7"/>
        <v>Bullet102110</v>
      </c>
      <c r="D89" s="2">
        <f>VLOOKUP(O89,BulletType!A$2:N137,9)</f>
        <v>0</v>
      </c>
      <c r="E89" s="2">
        <f>VLOOKUP(O89,BulletType!A$2:N137,10)</f>
        <v>0</v>
      </c>
      <c r="F89" s="3" t="str">
        <f>CONCATENATE(VLOOKUP(O89,BulletType!A$2:I$35,8),VLOOKUP(P89,BulletColor!A$2:D$16,4))</f>
        <v>Bullet200090</v>
      </c>
      <c r="G89" s="3" t="str">
        <f>VLOOKUP(O89,BulletType!A$1:G$35,7)</f>
        <v>3,0.75</v>
      </c>
      <c r="H89" s="2">
        <f t="shared" si="5"/>
        <v>1</v>
      </c>
      <c r="I89">
        <f>VLOOKUP(O89,BulletType!A$1:F$35,3)</f>
        <v>0</v>
      </c>
      <c r="J89">
        <f>VLOOKUP(O89,BulletType!A$1:F$35,4)</f>
        <v>0</v>
      </c>
      <c r="K89">
        <f>VLOOKUP(O89,BulletType!A$1:F$35,5)</f>
        <v>8</v>
      </c>
      <c r="L89">
        <f>VLOOKUP(O89,BulletType!A$1:F$35,5)</f>
        <v>8</v>
      </c>
      <c r="M89">
        <f>VLOOKUP(O89,BulletType!A$1:F$35,6)</f>
        <v>4</v>
      </c>
      <c r="N89" s="3" t="str">
        <f>VLOOKUP(P89,BulletColor!A$2:B112,2)</f>
        <v>0.9,1,0.4</v>
      </c>
      <c r="O89">
        <v>2</v>
      </c>
      <c r="P89" s="2">
        <v>11</v>
      </c>
      <c r="Q89" s="2">
        <f t="shared" si="8"/>
        <v>1</v>
      </c>
    </row>
    <row r="90" spans="1:17" x14ac:dyDescent="0.2">
      <c r="A90" s="1">
        <f t="shared" si="6"/>
        <v>102120</v>
      </c>
      <c r="B90" s="3" t="str">
        <f>VLOOKUP(O90,BulletType!A$1:F$35,2)&amp;VLOOKUP(P90,BulletColor!A$1:C$25,3)</f>
        <v>小玉深黄</v>
      </c>
      <c r="C90" s="3" t="str">
        <f t="shared" si="7"/>
        <v>Bullet102120</v>
      </c>
      <c r="D90" s="2">
        <f>VLOOKUP(O90,BulletType!A$2:N138,9)</f>
        <v>0</v>
      </c>
      <c r="E90" s="2">
        <f>VLOOKUP(O90,BulletType!A$2:N138,10)</f>
        <v>0</v>
      </c>
      <c r="F90" s="3" t="str">
        <f>CONCATENATE(VLOOKUP(O90,BulletType!A$2:I$35,8),VLOOKUP(P90,BulletColor!A$2:D$16,4))</f>
        <v>Bullet200090</v>
      </c>
      <c r="G90" s="3" t="str">
        <f>VLOOKUP(O90,BulletType!A$1:G$35,7)</f>
        <v>3,0.75</v>
      </c>
      <c r="H90" s="2">
        <f t="shared" si="5"/>
        <v>0</v>
      </c>
      <c r="I90">
        <f>VLOOKUP(O90,BulletType!A$1:F$35,3)</f>
        <v>0</v>
      </c>
      <c r="J90">
        <f>VLOOKUP(O90,BulletType!A$1:F$35,4)</f>
        <v>0</v>
      </c>
      <c r="K90">
        <f>VLOOKUP(O90,BulletType!A$1:F$35,5)</f>
        <v>8</v>
      </c>
      <c r="L90">
        <f>VLOOKUP(O90,BulletType!A$1:F$35,5)</f>
        <v>8</v>
      </c>
      <c r="M90">
        <f>VLOOKUP(O90,BulletType!A$1:F$35,6)</f>
        <v>4</v>
      </c>
      <c r="N90" s="3" t="str">
        <f>VLOOKUP(P90,BulletColor!A$2:B113,2)</f>
        <v>0.9,1,0.4</v>
      </c>
      <c r="O90">
        <v>2</v>
      </c>
      <c r="P90" s="2">
        <v>12</v>
      </c>
      <c r="Q90" s="2">
        <f t="shared" si="8"/>
        <v>0</v>
      </c>
    </row>
    <row r="91" spans="1:17" x14ac:dyDescent="0.2">
      <c r="A91" s="1">
        <f t="shared" si="6"/>
        <v>102121</v>
      </c>
      <c r="B91" s="3" t="str">
        <f>VLOOKUP(O91,BulletType!A$1:F$35,2)&amp;VLOOKUP(P91,BulletColor!A$1:C$25,3)</f>
        <v>小玉深黄</v>
      </c>
      <c r="C91" s="3" t="str">
        <f t="shared" si="7"/>
        <v>Bullet102120</v>
      </c>
      <c r="D91" s="2">
        <f>VLOOKUP(O91,BulletType!A$2:N139,9)</f>
        <v>0</v>
      </c>
      <c r="E91" s="2">
        <f>VLOOKUP(O91,BulletType!A$2:N139,10)</f>
        <v>0</v>
      </c>
      <c r="F91" s="3" t="str">
        <f>CONCATENATE(VLOOKUP(O91,BulletType!A$2:I$35,8),VLOOKUP(P91,BulletColor!A$2:D$16,4))</f>
        <v>Bullet200090</v>
      </c>
      <c r="G91" s="3" t="str">
        <f>VLOOKUP(O91,BulletType!A$1:G$35,7)</f>
        <v>3,0.75</v>
      </c>
      <c r="H91" s="2">
        <f t="shared" si="5"/>
        <v>1</v>
      </c>
      <c r="I91">
        <f>VLOOKUP(O91,BulletType!A$1:F$35,3)</f>
        <v>0</v>
      </c>
      <c r="J91">
        <f>VLOOKUP(O91,BulletType!A$1:F$35,4)</f>
        <v>0</v>
      </c>
      <c r="K91">
        <f>VLOOKUP(O91,BulletType!A$1:F$35,5)</f>
        <v>8</v>
      </c>
      <c r="L91">
        <f>VLOOKUP(O91,BulletType!A$1:F$35,5)</f>
        <v>8</v>
      </c>
      <c r="M91">
        <f>VLOOKUP(O91,BulletType!A$1:F$35,6)</f>
        <v>4</v>
      </c>
      <c r="N91" s="3" t="str">
        <f>VLOOKUP(P91,BulletColor!A$2:B114,2)</f>
        <v>0.9,1,0.4</v>
      </c>
      <c r="O91">
        <v>2</v>
      </c>
      <c r="P91" s="2">
        <v>12</v>
      </c>
      <c r="Q91" s="2">
        <f t="shared" si="8"/>
        <v>1</v>
      </c>
    </row>
    <row r="92" spans="1:17" x14ac:dyDescent="0.2">
      <c r="A92" s="1">
        <f t="shared" si="6"/>
        <v>102130</v>
      </c>
      <c r="B92" s="3" t="str">
        <f>VLOOKUP(O92,BulletType!A$1:F$35,2)&amp;VLOOKUP(P92,BulletColor!A$1:C$25,3)</f>
        <v>小玉浅黄</v>
      </c>
      <c r="C92" s="3" t="str">
        <f t="shared" si="7"/>
        <v>Bullet102130</v>
      </c>
      <c r="D92" s="2">
        <f>VLOOKUP(O92,BulletType!A$2:N140,9)</f>
        <v>0</v>
      </c>
      <c r="E92" s="2">
        <f>VLOOKUP(O92,BulletType!A$2:N140,10)</f>
        <v>0</v>
      </c>
      <c r="F92" s="3" t="str">
        <f>CONCATENATE(VLOOKUP(O92,BulletType!A$2:I$35,8),VLOOKUP(P92,BulletColor!A$2:D$16,4))</f>
        <v>Bullet200130</v>
      </c>
      <c r="G92" s="3" t="str">
        <f>VLOOKUP(O92,BulletType!A$1:G$35,7)</f>
        <v>3,0.75</v>
      </c>
      <c r="H92" s="2">
        <f t="shared" si="5"/>
        <v>0</v>
      </c>
      <c r="I92">
        <f>VLOOKUP(O92,BulletType!A$1:F$35,3)</f>
        <v>0</v>
      </c>
      <c r="J92">
        <f>VLOOKUP(O92,BulletType!A$1:F$35,4)</f>
        <v>0</v>
      </c>
      <c r="K92">
        <f>VLOOKUP(O92,BulletType!A$1:F$35,5)</f>
        <v>8</v>
      </c>
      <c r="L92">
        <f>VLOOKUP(O92,BulletType!A$1:F$35,5)</f>
        <v>8</v>
      </c>
      <c r="M92">
        <f>VLOOKUP(O92,BulletType!A$1:F$35,6)</f>
        <v>4</v>
      </c>
      <c r="N92" s="3" t="str">
        <f>VLOOKUP(P92,BulletColor!A$2:B115,2)</f>
        <v>0.9,1,0.4</v>
      </c>
      <c r="O92">
        <v>2</v>
      </c>
      <c r="P92" s="2">
        <v>13</v>
      </c>
      <c r="Q92" s="2">
        <f t="shared" si="8"/>
        <v>0</v>
      </c>
    </row>
    <row r="93" spans="1:17" x14ac:dyDescent="0.2">
      <c r="A93" s="1">
        <f t="shared" si="6"/>
        <v>102131</v>
      </c>
      <c r="B93" s="3" t="str">
        <f>VLOOKUP(O93,BulletType!A$1:F$35,2)&amp;VLOOKUP(P93,BulletColor!A$1:C$25,3)</f>
        <v>小玉浅黄</v>
      </c>
      <c r="C93" s="3" t="str">
        <f t="shared" si="7"/>
        <v>Bullet102130</v>
      </c>
      <c r="D93" s="2">
        <f>VLOOKUP(O93,BulletType!A$2:N141,9)</f>
        <v>0</v>
      </c>
      <c r="E93" s="2">
        <f>VLOOKUP(O93,BulletType!A$2:N141,10)</f>
        <v>0</v>
      </c>
      <c r="F93" s="3" t="str">
        <f>CONCATENATE(VLOOKUP(O93,BulletType!A$2:I$35,8),VLOOKUP(P93,BulletColor!A$2:D$16,4))</f>
        <v>Bullet200130</v>
      </c>
      <c r="G93" s="3" t="str">
        <f>VLOOKUP(O93,BulletType!A$1:G$35,7)</f>
        <v>3,0.75</v>
      </c>
      <c r="H93" s="2">
        <f t="shared" si="5"/>
        <v>1</v>
      </c>
      <c r="I93">
        <f>VLOOKUP(O93,BulletType!A$1:F$35,3)</f>
        <v>0</v>
      </c>
      <c r="J93">
        <f>VLOOKUP(O93,BulletType!A$1:F$35,4)</f>
        <v>0</v>
      </c>
      <c r="K93">
        <f>VLOOKUP(O93,BulletType!A$1:F$35,5)</f>
        <v>8</v>
      </c>
      <c r="L93">
        <f>VLOOKUP(O93,BulletType!A$1:F$35,5)</f>
        <v>8</v>
      </c>
      <c r="M93">
        <f>VLOOKUP(O93,BulletType!A$1:F$35,6)</f>
        <v>4</v>
      </c>
      <c r="N93" s="3" t="str">
        <f>VLOOKUP(P93,BulletColor!A$2:B116,2)</f>
        <v>0.9,1,0.4</v>
      </c>
      <c r="O93">
        <v>2</v>
      </c>
      <c r="P93" s="2">
        <v>13</v>
      </c>
      <c r="Q93" s="2">
        <f t="shared" si="8"/>
        <v>1</v>
      </c>
    </row>
    <row r="94" spans="1:17" x14ac:dyDescent="0.2">
      <c r="A94" s="1">
        <f t="shared" si="6"/>
        <v>102140</v>
      </c>
      <c r="B94" s="3" t="str">
        <f>VLOOKUP(O94,BulletType!A$1:F$35,2)&amp;VLOOKUP(P94,BulletColor!A$1:C$25,3)</f>
        <v>小玉棕黄</v>
      </c>
      <c r="C94" s="3" t="str">
        <f t="shared" si="7"/>
        <v>Bullet102140</v>
      </c>
      <c r="D94" s="2">
        <f>VLOOKUP(O94,BulletType!A$2:N142,9)</f>
        <v>0</v>
      </c>
      <c r="E94" s="2">
        <f>VLOOKUP(O94,BulletType!A$2:N142,10)</f>
        <v>0</v>
      </c>
      <c r="F94" s="3" t="str">
        <f>CONCATENATE(VLOOKUP(O94,BulletType!A$2:I$35,8),VLOOKUP(P94,BulletColor!A$2:D$16,4))</f>
        <v>Bullet200130</v>
      </c>
      <c r="G94" s="3" t="str">
        <f>VLOOKUP(O94,BulletType!A$1:G$35,7)</f>
        <v>3,0.75</v>
      </c>
      <c r="H94" s="2">
        <f t="shared" si="5"/>
        <v>0</v>
      </c>
      <c r="I94">
        <f>VLOOKUP(O94,BulletType!A$1:F$35,3)</f>
        <v>0</v>
      </c>
      <c r="J94">
        <f>VLOOKUP(O94,BulletType!A$1:F$35,4)</f>
        <v>0</v>
      </c>
      <c r="K94">
        <f>VLOOKUP(O94,BulletType!A$1:F$35,5)</f>
        <v>8</v>
      </c>
      <c r="L94">
        <f>VLOOKUP(O94,BulletType!A$1:F$35,5)</f>
        <v>8</v>
      </c>
      <c r="M94">
        <f>VLOOKUP(O94,BulletType!A$1:F$35,6)</f>
        <v>4</v>
      </c>
      <c r="N94" s="3" t="str">
        <f>VLOOKUP(P94,BulletColor!A$2:B117,2)</f>
        <v>0.9,1,0.4</v>
      </c>
      <c r="O94">
        <v>2</v>
      </c>
      <c r="P94" s="2">
        <v>14</v>
      </c>
      <c r="Q94" s="2">
        <f t="shared" si="8"/>
        <v>0</v>
      </c>
    </row>
    <row r="95" spans="1:17" x14ac:dyDescent="0.2">
      <c r="A95" s="1">
        <f t="shared" si="6"/>
        <v>102141</v>
      </c>
      <c r="B95" s="3" t="str">
        <f>VLOOKUP(O95,BulletType!A$1:F$35,2)&amp;VLOOKUP(P95,BulletColor!A$1:C$25,3)</f>
        <v>小玉棕黄</v>
      </c>
      <c r="C95" s="3" t="str">
        <f t="shared" si="7"/>
        <v>Bullet102140</v>
      </c>
      <c r="D95" s="2">
        <f>VLOOKUP(O95,BulletType!A$2:N143,9)</f>
        <v>0</v>
      </c>
      <c r="E95" s="2">
        <f>VLOOKUP(O95,BulletType!A$2:N143,10)</f>
        <v>0</v>
      </c>
      <c r="F95" s="3" t="str">
        <f>CONCATENATE(VLOOKUP(O95,BulletType!A$2:I$35,8),VLOOKUP(P95,BulletColor!A$2:D$16,4))</f>
        <v>Bullet200130</v>
      </c>
      <c r="G95" s="3" t="str">
        <f>VLOOKUP(O95,BulletType!A$1:G$35,7)</f>
        <v>3,0.75</v>
      </c>
      <c r="H95" s="2">
        <f t="shared" si="5"/>
        <v>1</v>
      </c>
      <c r="I95">
        <f>VLOOKUP(O95,BulletType!A$1:F$35,3)</f>
        <v>0</v>
      </c>
      <c r="J95">
        <f>VLOOKUP(O95,BulletType!A$1:F$35,4)</f>
        <v>0</v>
      </c>
      <c r="K95">
        <f>VLOOKUP(O95,BulletType!A$1:F$35,5)</f>
        <v>8</v>
      </c>
      <c r="L95">
        <f>VLOOKUP(O95,BulletType!A$1:F$35,5)</f>
        <v>8</v>
      </c>
      <c r="M95">
        <f>VLOOKUP(O95,BulletType!A$1:F$35,6)</f>
        <v>4</v>
      </c>
      <c r="N95" s="3" t="str">
        <f>VLOOKUP(P95,BulletColor!A$2:B118,2)</f>
        <v>0.9,1,0.4</v>
      </c>
      <c r="O95">
        <v>2</v>
      </c>
      <c r="P95" s="2">
        <v>14</v>
      </c>
      <c r="Q95" s="2">
        <f t="shared" si="8"/>
        <v>1</v>
      </c>
    </row>
    <row r="96" spans="1:17" x14ac:dyDescent="0.2">
      <c r="A96" s="1">
        <f t="shared" si="6"/>
        <v>102150</v>
      </c>
      <c r="B96" s="3" t="str">
        <f>VLOOKUP(O96,BulletType!A$1:F$35,2)&amp;VLOOKUP(P96,BulletColor!A$1:C$25,3)</f>
        <v>小玉白</v>
      </c>
      <c r="C96" s="3" t="str">
        <f t="shared" si="7"/>
        <v>Bullet102150</v>
      </c>
      <c r="D96" s="2">
        <f>VLOOKUP(O96,BulletType!A$2:N144,9)</f>
        <v>0</v>
      </c>
      <c r="E96" s="2">
        <f>VLOOKUP(O96,BulletType!A$2:N144,10)</f>
        <v>0</v>
      </c>
      <c r="F96" s="3" t="str">
        <f>CONCATENATE(VLOOKUP(O96,BulletType!A$2:I$35,8),VLOOKUP(P96,BulletColor!A$2:D$16,4))</f>
        <v>Bullet200130</v>
      </c>
      <c r="G96" s="3" t="str">
        <f>VLOOKUP(O96,BulletType!A$1:G$35,7)</f>
        <v>3,0.75</v>
      </c>
      <c r="H96" s="2">
        <f t="shared" si="5"/>
        <v>0</v>
      </c>
      <c r="I96">
        <f>VLOOKUP(O96,BulletType!A$1:F$35,3)</f>
        <v>0</v>
      </c>
      <c r="J96">
        <f>VLOOKUP(O96,BulletType!A$1:F$35,4)</f>
        <v>0</v>
      </c>
      <c r="K96">
        <f>VLOOKUP(O96,BulletType!A$1:F$35,5)</f>
        <v>8</v>
      </c>
      <c r="L96">
        <f>VLOOKUP(O96,BulletType!A$1:F$35,5)</f>
        <v>8</v>
      </c>
      <c r="M96">
        <f>VLOOKUP(O96,BulletType!A$1:F$35,6)</f>
        <v>4</v>
      </c>
      <c r="N96" s="3" t="str">
        <f>VLOOKUP(P96,BulletColor!A$2:B119,2)</f>
        <v>0.8,0.8,0.8</v>
      </c>
      <c r="O96">
        <v>2</v>
      </c>
      <c r="P96" s="2">
        <v>15</v>
      </c>
      <c r="Q96" s="2">
        <f t="shared" si="8"/>
        <v>0</v>
      </c>
    </row>
    <row r="97" spans="1:17" x14ac:dyDescent="0.2">
      <c r="A97" s="1">
        <f t="shared" si="6"/>
        <v>102151</v>
      </c>
      <c r="B97" s="3" t="str">
        <f>VLOOKUP(O97,BulletType!A$1:F$35,2)&amp;VLOOKUP(P97,BulletColor!A$1:C$25,3)</f>
        <v>小玉白</v>
      </c>
      <c r="C97" s="3" t="str">
        <f t="shared" si="7"/>
        <v>Bullet102150</v>
      </c>
      <c r="D97" s="2">
        <f>VLOOKUP(O97,BulletType!A$2:N145,9)</f>
        <v>0</v>
      </c>
      <c r="E97" s="2">
        <f>VLOOKUP(O97,BulletType!A$2:N145,10)</f>
        <v>0</v>
      </c>
      <c r="F97" s="3" t="str">
        <f>CONCATENATE(VLOOKUP(O97,BulletType!A$2:I$35,8),VLOOKUP(P97,BulletColor!A$2:D$16,4))</f>
        <v>Bullet200130</v>
      </c>
      <c r="G97" s="3" t="str">
        <f>VLOOKUP(O97,BulletType!A$1:G$35,7)</f>
        <v>3,0.75</v>
      </c>
      <c r="H97" s="2">
        <f t="shared" si="5"/>
        <v>1</v>
      </c>
      <c r="I97">
        <f>VLOOKUP(O97,BulletType!A$1:F$35,3)</f>
        <v>0</v>
      </c>
      <c r="J97">
        <f>VLOOKUP(O97,BulletType!A$1:F$35,4)</f>
        <v>0</v>
      </c>
      <c r="K97">
        <f>VLOOKUP(O97,BulletType!A$1:F$35,5)</f>
        <v>8</v>
      </c>
      <c r="L97">
        <f>VLOOKUP(O97,BulletType!A$1:F$35,5)</f>
        <v>8</v>
      </c>
      <c r="M97">
        <f>VLOOKUP(O97,BulletType!A$1:F$35,6)</f>
        <v>4</v>
      </c>
      <c r="N97" s="3" t="str">
        <f>VLOOKUP(P97,BulletColor!A$2:B120,2)</f>
        <v>0.8,0.8,0.8</v>
      </c>
      <c r="O97">
        <v>2</v>
      </c>
      <c r="P97" s="2">
        <v>15</v>
      </c>
      <c r="Q97" s="2">
        <f t="shared" si="8"/>
        <v>1</v>
      </c>
    </row>
    <row r="98" spans="1:17" x14ac:dyDescent="0.2">
      <c r="A98" s="1">
        <f t="shared" si="6"/>
        <v>103000</v>
      </c>
      <c r="B98" s="3" t="str">
        <f>VLOOKUP(O98,BulletType!A$1:F$35,2)&amp;VLOOKUP(P98,BulletColor!A$1:C$25,3)</f>
        <v>环玉灰</v>
      </c>
      <c r="C98" s="3" t="str">
        <f t="shared" si="7"/>
        <v>Bullet103000</v>
      </c>
      <c r="D98" s="2">
        <f>VLOOKUP(O98,BulletType!A$2:N146,9)</f>
        <v>0</v>
      </c>
      <c r="E98" s="2">
        <f>VLOOKUP(O98,BulletType!A$2:N146,10)</f>
        <v>0</v>
      </c>
      <c r="F98" s="3" t="str">
        <f>CONCATENATE(VLOOKUP(O98,BulletType!A$2:I$35,8),VLOOKUP(P98,BulletColor!A$2:D$16,4))</f>
        <v>Bullet200000</v>
      </c>
      <c r="G98" s="3" t="str">
        <f>VLOOKUP(O98,BulletType!A$1:G$35,7)</f>
        <v>4,1</v>
      </c>
      <c r="H98" s="2">
        <f t="shared" si="5"/>
        <v>0</v>
      </c>
      <c r="I98">
        <f>VLOOKUP(O98,BulletType!A$1:F$35,3)</f>
        <v>0</v>
      </c>
      <c r="J98">
        <f>VLOOKUP(O98,BulletType!A$1:F$35,4)</f>
        <v>0</v>
      </c>
      <c r="K98">
        <f>VLOOKUP(O98,BulletType!A$1:F$35,5)</f>
        <v>4.8</v>
      </c>
      <c r="L98">
        <f>VLOOKUP(O98,BulletType!A$1:F$35,5)</f>
        <v>4.8</v>
      </c>
      <c r="M98">
        <f>VLOOKUP(O98,BulletType!A$1:F$35,6)</f>
        <v>2.4</v>
      </c>
      <c r="N98" s="3" t="str">
        <f>VLOOKUP(P98,BulletColor!A$2:B121,2)</f>
        <v>0.5,0.5,0.5</v>
      </c>
      <c r="O98">
        <v>3</v>
      </c>
      <c r="P98" s="2">
        <v>0</v>
      </c>
      <c r="Q98" s="2">
        <f t="shared" si="8"/>
        <v>0</v>
      </c>
    </row>
    <row r="99" spans="1:17" x14ac:dyDescent="0.2">
      <c r="A99" s="1">
        <f t="shared" si="6"/>
        <v>103001</v>
      </c>
      <c r="B99" s="3" t="str">
        <f>VLOOKUP(O99,BulletType!A$1:F$35,2)&amp;VLOOKUP(P99,BulletColor!A$1:C$25,3)</f>
        <v>环玉灰</v>
      </c>
      <c r="C99" s="3" t="str">
        <f t="shared" si="7"/>
        <v>Bullet103000</v>
      </c>
      <c r="D99" s="2">
        <f>VLOOKUP(O99,BulletType!A$2:N147,9)</f>
        <v>0</v>
      </c>
      <c r="E99" s="2">
        <f>VLOOKUP(O99,BulletType!A$2:N147,10)</f>
        <v>0</v>
      </c>
      <c r="F99" s="3" t="str">
        <f>CONCATENATE(VLOOKUP(O99,BulletType!A$2:I$35,8),VLOOKUP(P99,BulletColor!A$2:D$16,4))</f>
        <v>Bullet200000</v>
      </c>
      <c r="G99" s="3" t="str">
        <f>VLOOKUP(O99,BulletType!A$1:G$35,7)</f>
        <v>4,1</v>
      </c>
      <c r="H99" s="2">
        <f t="shared" si="5"/>
        <v>1</v>
      </c>
      <c r="I99">
        <f>VLOOKUP(O99,BulletType!A$1:F$35,3)</f>
        <v>0</v>
      </c>
      <c r="J99">
        <f>VLOOKUP(O99,BulletType!A$1:F$35,4)</f>
        <v>0</v>
      </c>
      <c r="K99">
        <f>VLOOKUP(O99,BulletType!A$1:F$35,5)</f>
        <v>4.8</v>
      </c>
      <c r="L99">
        <f>VLOOKUP(O99,BulletType!A$1:F$35,5)</f>
        <v>4.8</v>
      </c>
      <c r="M99">
        <f>VLOOKUP(O99,BulletType!A$1:F$35,6)</f>
        <v>2.4</v>
      </c>
      <c r="N99" s="3" t="str">
        <f>VLOOKUP(P99,BulletColor!A$2:B122,2)</f>
        <v>0.5,0.5,0.5</v>
      </c>
      <c r="O99">
        <v>3</v>
      </c>
      <c r="P99" s="2">
        <v>0</v>
      </c>
      <c r="Q99" s="2">
        <f t="shared" si="8"/>
        <v>1</v>
      </c>
    </row>
    <row r="100" spans="1:17" x14ac:dyDescent="0.2">
      <c r="A100" s="1">
        <f t="shared" si="6"/>
        <v>103010</v>
      </c>
      <c r="B100" s="3" t="str">
        <f>VLOOKUP(O100,BulletType!A$1:F$35,2)&amp;VLOOKUP(P100,BulletColor!A$1:C$25,3)</f>
        <v>环玉深红</v>
      </c>
      <c r="C100" s="3" t="str">
        <f t="shared" si="7"/>
        <v>Bullet103010</v>
      </c>
      <c r="D100" s="2">
        <f>VLOOKUP(O100,BulletType!A$2:N148,9)</f>
        <v>0</v>
      </c>
      <c r="E100" s="2">
        <f>VLOOKUP(O100,BulletType!A$2:N148,10)</f>
        <v>0</v>
      </c>
      <c r="F100" s="3" t="str">
        <f>CONCATENATE(VLOOKUP(O100,BulletType!A$2:I$35,8),VLOOKUP(P100,BulletColor!A$2:D$16,4))</f>
        <v>Bullet200010</v>
      </c>
      <c r="G100" s="3" t="str">
        <f>VLOOKUP(O100,BulletType!A$1:G$35,7)</f>
        <v>4,1</v>
      </c>
      <c r="H100" s="2">
        <f t="shared" si="5"/>
        <v>0</v>
      </c>
      <c r="I100">
        <f>VLOOKUP(O100,BulletType!A$1:F$35,3)</f>
        <v>0</v>
      </c>
      <c r="J100">
        <f>VLOOKUP(O100,BulletType!A$1:F$35,4)</f>
        <v>0</v>
      </c>
      <c r="K100">
        <f>VLOOKUP(O100,BulletType!A$1:F$35,5)</f>
        <v>4.8</v>
      </c>
      <c r="L100">
        <f>VLOOKUP(O100,BulletType!A$1:F$35,5)</f>
        <v>4.8</v>
      </c>
      <c r="M100">
        <f>VLOOKUP(O100,BulletType!A$1:F$35,6)</f>
        <v>2.4</v>
      </c>
      <c r="N100" s="3" t="str">
        <f>VLOOKUP(P100,BulletColor!A$2:B123,2)</f>
        <v>0.625,0.3,0.3</v>
      </c>
      <c r="O100">
        <v>3</v>
      </c>
      <c r="P100" s="2">
        <v>1</v>
      </c>
      <c r="Q100" s="2">
        <f t="shared" si="8"/>
        <v>0</v>
      </c>
    </row>
    <row r="101" spans="1:17" x14ac:dyDescent="0.2">
      <c r="A101" s="1">
        <f t="shared" si="6"/>
        <v>103011</v>
      </c>
      <c r="B101" s="3" t="str">
        <f>VLOOKUP(O101,BulletType!A$1:F$35,2)&amp;VLOOKUP(P101,BulletColor!A$1:C$25,3)</f>
        <v>环玉深红</v>
      </c>
      <c r="C101" s="3" t="str">
        <f t="shared" si="7"/>
        <v>Bullet103010</v>
      </c>
      <c r="D101" s="2">
        <f>VLOOKUP(O101,BulletType!A$2:N149,9)</f>
        <v>0</v>
      </c>
      <c r="E101" s="2">
        <f>VLOOKUP(O101,BulletType!A$2:N149,10)</f>
        <v>0</v>
      </c>
      <c r="F101" s="3" t="str">
        <f>CONCATENATE(VLOOKUP(O101,BulletType!A$2:I$35,8),VLOOKUP(P101,BulletColor!A$2:D$16,4))</f>
        <v>Bullet200010</v>
      </c>
      <c r="G101" s="3" t="str">
        <f>VLOOKUP(O101,BulletType!A$1:G$35,7)</f>
        <v>4,1</v>
      </c>
      <c r="H101" s="2">
        <f t="shared" si="5"/>
        <v>1</v>
      </c>
      <c r="I101">
        <f>VLOOKUP(O101,BulletType!A$1:F$35,3)</f>
        <v>0</v>
      </c>
      <c r="J101">
        <f>VLOOKUP(O101,BulletType!A$1:F$35,4)</f>
        <v>0</v>
      </c>
      <c r="K101">
        <f>VLOOKUP(O101,BulletType!A$1:F$35,5)</f>
        <v>4.8</v>
      </c>
      <c r="L101">
        <f>VLOOKUP(O101,BulletType!A$1:F$35,5)</f>
        <v>4.8</v>
      </c>
      <c r="M101">
        <f>VLOOKUP(O101,BulletType!A$1:F$35,6)</f>
        <v>2.4</v>
      </c>
      <c r="N101" s="3" t="str">
        <f>VLOOKUP(P101,BulletColor!A$2:B124,2)</f>
        <v>0.625,0.3,0.3</v>
      </c>
      <c r="O101">
        <v>3</v>
      </c>
      <c r="P101" s="2">
        <v>1</v>
      </c>
      <c r="Q101" s="2">
        <f t="shared" si="8"/>
        <v>1</v>
      </c>
    </row>
    <row r="102" spans="1:17" x14ac:dyDescent="0.2">
      <c r="A102" s="1">
        <f t="shared" si="6"/>
        <v>103020</v>
      </c>
      <c r="B102" s="3" t="str">
        <f>VLOOKUP(O102,BulletType!A$1:F$35,2)&amp;VLOOKUP(P102,BulletColor!A$1:C$25,3)</f>
        <v>环玉红</v>
      </c>
      <c r="C102" s="3" t="str">
        <f t="shared" si="7"/>
        <v>Bullet103020</v>
      </c>
      <c r="D102" s="2">
        <f>VLOOKUP(O102,BulletType!A$2:N150,9)</f>
        <v>0</v>
      </c>
      <c r="E102" s="2">
        <f>VLOOKUP(O102,BulletType!A$2:N150,10)</f>
        <v>0</v>
      </c>
      <c r="F102" s="3" t="str">
        <f>CONCATENATE(VLOOKUP(O102,BulletType!A$2:I$35,8),VLOOKUP(P102,BulletColor!A$2:D$16,4))</f>
        <v>Bullet200010</v>
      </c>
      <c r="G102" s="3" t="str">
        <f>VLOOKUP(O102,BulletType!A$1:G$35,7)</f>
        <v>4,1</v>
      </c>
      <c r="H102" s="2">
        <f t="shared" si="5"/>
        <v>0</v>
      </c>
      <c r="I102">
        <f>VLOOKUP(O102,BulletType!A$1:F$35,3)</f>
        <v>0</v>
      </c>
      <c r="J102">
        <f>VLOOKUP(O102,BulletType!A$1:F$35,4)</f>
        <v>0</v>
      </c>
      <c r="K102">
        <f>VLOOKUP(O102,BulletType!A$1:F$35,5)</f>
        <v>4.8</v>
      </c>
      <c r="L102">
        <f>VLOOKUP(O102,BulletType!A$1:F$35,5)</f>
        <v>4.8</v>
      </c>
      <c r="M102">
        <f>VLOOKUP(O102,BulletType!A$1:F$35,6)</f>
        <v>2.4</v>
      </c>
      <c r="N102" s="3" t="str">
        <f>VLOOKUP(P102,BulletColor!A$2:B125,2)</f>
        <v>0.8,0.3,0.3</v>
      </c>
      <c r="O102">
        <v>3</v>
      </c>
      <c r="P102" s="2">
        <v>2</v>
      </c>
      <c r="Q102" s="2">
        <f t="shared" si="8"/>
        <v>0</v>
      </c>
    </row>
    <row r="103" spans="1:17" x14ac:dyDescent="0.2">
      <c r="A103" s="1">
        <f t="shared" si="6"/>
        <v>103021</v>
      </c>
      <c r="B103" s="3" t="str">
        <f>VLOOKUP(O103,BulletType!A$1:F$35,2)&amp;VLOOKUP(P103,BulletColor!A$1:C$25,3)</f>
        <v>环玉红</v>
      </c>
      <c r="C103" s="3" t="str">
        <f t="shared" si="7"/>
        <v>Bullet103020</v>
      </c>
      <c r="D103" s="2">
        <f>VLOOKUP(O103,BulletType!A$2:N151,9)</f>
        <v>0</v>
      </c>
      <c r="E103" s="2">
        <f>VLOOKUP(O103,BulletType!A$2:N151,10)</f>
        <v>0</v>
      </c>
      <c r="F103" s="3" t="str">
        <f>CONCATENATE(VLOOKUP(O103,BulletType!A$2:I$35,8),VLOOKUP(P103,BulletColor!A$2:D$16,4))</f>
        <v>Bullet200010</v>
      </c>
      <c r="G103" s="3" t="str">
        <f>VLOOKUP(O103,BulletType!A$1:G$35,7)</f>
        <v>4,1</v>
      </c>
      <c r="H103" s="2">
        <f t="shared" si="5"/>
        <v>1</v>
      </c>
      <c r="I103">
        <f>VLOOKUP(O103,BulletType!A$1:F$35,3)</f>
        <v>0</v>
      </c>
      <c r="J103">
        <f>VLOOKUP(O103,BulletType!A$1:F$35,4)</f>
        <v>0</v>
      </c>
      <c r="K103">
        <f>VLOOKUP(O103,BulletType!A$1:F$35,5)</f>
        <v>4.8</v>
      </c>
      <c r="L103">
        <f>VLOOKUP(O103,BulletType!A$1:F$35,5)</f>
        <v>4.8</v>
      </c>
      <c r="M103">
        <f>VLOOKUP(O103,BulletType!A$1:F$35,6)</f>
        <v>2.4</v>
      </c>
      <c r="N103" s="3" t="str">
        <f>VLOOKUP(P103,BulletColor!A$2:B126,2)</f>
        <v>0.8,0.3,0.3</v>
      </c>
      <c r="O103">
        <v>3</v>
      </c>
      <c r="P103" s="2">
        <v>2</v>
      </c>
      <c r="Q103" s="2">
        <f t="shared" si="8"/>
        <v>1</v>
      </c>
    </row>
    <row r="104" spans="1:17" x14ac:dyDescent="0.2">
      <c r="A104" s="1">
        <f t="shared" si="6"/>
        <v>103030</v>
      </c>
      <c r="B104" s="3" t="str">
        <f>VLOOKUP(O104,BulletType!A$1:F$35,2)&amp;VLOOKUP(P104,BulletColor!A$1:C$25,3)</f>
        <v>环玉深紫</v>
      </c>
      <c r="C104" s="3" t="str">
        <f t="shared" si="7"/>
        <v>Bullet103030</v>
      </c>
      <c r="D104" s="2">
        <f>VLOOKUP(O104,BulletType!A$2:N152,9)</f>
        <v>0</v>
      </c>
      <c r="E104" s="2">
        <f>VLOOKUP(O104,BulletType!A$2:N152,10)</f>
        <v>0</v>
      </c>
      <c r="F104" s="3" t="str">
        <f>CONCATENATE(VLOOKUP(O104,BulletType!A$2:I$35,8),VLOOKUP(P104,BulletColor!A$2:D$16,4))</f>
        <v>Bullet200030</v>
      </c>
      <c r="G104" s="3" t="str">
        <f>VLOOKUP(O104,BulletType!A$1:G$35,7)</f>
        <v>4,1</v>
      </c>
      <c r="H104" s="2">
        <f t="shared" si="5"/>
        <v>0</v>
      </c>
      <c r="I104">
        <f>VLOOKUP(O104,BulletType!A$1:F$35,3)</f>
        <v>0</v>
      </c>
      <c r="J104">
        <f>VLOOKUP(O104,BulletType!A$1:F$35,4)</f>
        <v>0</v>
      </c>
      <c r="K104">
        <f>VLOOKUP(O104,BulletType!A$1:F$35,5)</f>
        <v>4.8</v>
      </c>
      <c r="L104">
        <f>VLOOKUP(O104,BulletType!A$1:F$35,5)</f>
        <v>4.8</v>
      </c>
      <c r="M104">
        <f>VLOOKUP(O104,BulletType!A$1:F$35,6)</f>
        <v>2.4</v>
      </c>
      <c r="N104" s="3" t="str">
        <f>VLOOKUP(P104,BulletColor!A$2:B127,2)</f>
        <v>1,0.65,1</v>
      </c>
      <c r="O104">
        <v>3</v>
      </c>
      <c r="P104" s="2">
        <v>3</v>
      </c>
      <c r="Q104" s="2">
        <f t="shared" si="8"/>
        <v>0</v>
      </c>
    </row>
    <row r="105" spans="1:17" x14ac:dyDescent="0.2">
      <c r="A105" s="1">
        <f t="shared" si="6"/>
        <v>103031</v>
      </c>
      <c r="B105" s="3" t="str">
        <f>VLOOKUP(O105,BulletType!A$1:F$35,2)&amp;VLOOKUP(P105,BulletColor!A$1:C$25,3)</f>
        <v>环玉深紫</v>
      </c>
      <c r="C105" s="3" t="str">
        <f t="shared" si="7"/>
        <v>Bullet103030</v>
      </c>
      <c r="D105" s="2">
        <f>VLOOKUP(O105,BulletType!A$2:N153,9)</f>
        <v>0</v>
      </c>
      <c r="E105" s="2">
        <f>VLOOKUP(O105,BulletType!A$2:N153,10)</f>
        <v>0</v>
      </c>
      <c r="F105" s="3" t="str">
        <f>CONCATENATE(VLOOKUP(O105,BulletType!A$2:I$35,8),VLOOKUP(P105,BulletColor!A$2:D$16,4))</f>
        <v>Bullet200030</v>
      </c>
      <c r="G105" s="3" t="str">
        <f>VLOOKUP(O105,BulletType!A$1:G$35,7)</f>
        <v>4,1</v>
      </c>
      <c r="H105" s="2">
        <f t="shared" si="5"/>
        <v>1</v>
      </c>
      <c r="I105">
        <f>VLOOKUP(O105,BulletType!A$1:F$35,3)</f>
        <v>0</v>
      </c>
      <c r="J105">
        <f>VLOOKUP(O105,BulletType!A$1:F$35,4)</f>
        <v>0</v>
      </c>
      <c r="K105">
        <f>VLOOKUP(O105,BulletType!A$1:F$35,5)</f>
        <v>4.8</v>
      </c>
      <c r="L105">
        <f>VLOOKUP(O105,BulletType!A$1:F$35,5)</f>
        <v>4.8</v>
      </c>
      <c r="M105">
        <f>VLOOKUP(O105,BulletType!A$1:F$35,6)</f>
        <v>2.4</v>
      </c>
      <c r="N105" s="3" t="str">
        <f>VLOOKUP(P105,BulletColor!A$2:B128,2)</f>
        <v>1,0.65,1</v>
      </c>
      <c r="O105">
        <v>3</v>
      </c>
      <c r="P105" s="2">
        <v>3</v>
      </c>
      <c r="Q105" s="2">
        <f t="shared" si="8"/>
        <v>1</v>
      </c>
    </row>
    <row r="106" spans="1:17" x14ac:dyDescent="0.2">
      <c r="A106" s="1">
        <f t="shared" si="6"/>
        <v>103040</v>
      </c>
      <c r="B106" s="3" t="str">
        <f>VLOOKUP(O106,BulletType!A$1:F$35,2)&amp;VLOOKUP(P106,BulletColor!A$1:C$25,3)</f>
        <v>环玉紫</v>
      </c>
      <c r="C106" s="3" t="str">
        <f t="shared" si="7"/>
        <v>Bullet103040</v>
      </c>
      <c r="D106" s="2">
        <f>VLOOKUP(O106,BulletType!A$2:N154,9)</f>
        <v>0</v>
      </c>
      <c r="E106" s="2">
        <f>VLOOKUP(O106,BulletType!A$2:N154,10)</f>
        <v>0</v>
      </c>
      <c r="F106" s="3" t="str">
        <f>CONCATENATE(VLOOKUP(O106,BulletType!A$2:I$35,8),VLOOKUP(P106,BulletColor!A$2:D$16,4))</f>
        <v>Bullet200030</v>
      </c>
      <c r="G106" s="3" t="str">
        <f>VLOOKUP(O106,BulletType!A$1:G$35,7)</f>
        <v>4,1</v>
      </c>
      <c r="H106" s="2">
        <f t="shared" si="5"/>
        <v>0</v>
      </c>
      <c r="I106">
        <f>VLOOKUP(O106,BulletType!A$1:F$35,3)</f>
        <v>0</v>
      </c>
      <c r="J106">
        <f>VLOOKUP(O106,BulletType!A$1:F$35,4)</f>
        <v>0</v>
      </c>
      <c r="K106">
        <f>VLOOKUP(O106,BulletType!A$1:F$35,5)</f>
        <v>4.8</v>
      </c>
      <c r="L106">
        <f>VLOOKUP(O106,BulletType!A$1:F$35,5)</f>
        <v>4.8</v>
      </c>
      <c r="M106">
        <f>VLOOKUP(O106,BulletType!A$1:F$35,6)</f>
        <v>2.4</v>
      </c>
      <c r="N106" s="3" t="str">
        <f>VLOOKUP(P106,BulletColor!A$2:B129,2)</f>
        <v>1,0.65,1</v>
      </c>
      <c r="O106">
        <v>3</v>
      </c>
      <c r="P106" s="2">
        <v>4</v>
      </c>
      <c r="Q106" s="2">
        <f t="shared" si="8"/>
        <v>0</v>
      </c>
    </row>
    <row r="107" spans="1:17" x14ac:dyDescent="0.2">
      <c r="A107" s="1">
        <f t="shared" si="6"/>
        <v>103041</v>
      </c>
      <c r="B107" s="3" t="str">
        <f>VLOOKUP(O107,BulletType!A$1:F$35,2)&amp;VLOOKUP(P107,BulletColor!A$1:C$25,3)</f>
        <v>环玉紫</v>
      </c>
      <c r="C107" s="3" t="str">
        <f t="shared" si="7"/>
        <v>Bullet103040</v>
      </c>
      <c r="D107" s="2">
        <f>VLOOKUP(O107,BulletType!A$2:N155,9)</f>
        <v>0</v>
      </c>
      <c r="E107" s="2">
        <f>VLOOKUP(O107,BulletType!A$2:N155,10)</f>
        <v>0</v>
      </c>
      <c r="F107" s="3" t="str">
        <f>CONCATENATE(VLOOKUP(O107,BulletType!A$2:I$35,8),VLOOKUP(P107,BulletColor!A$2:D$16,4))</f>
        <v>Bullet200030</v>
      </c>
      <c r="G107" s="3" t="str">
        <f>VLOOKUP(O107,BulletType!A$1:G$35,7)</f>
        <v>4,1</v>
      </c>
      <c r="H107" s="2">
        <f t="shared" si="5"/>
        <v>1</v>
      </c>
      <c r="I107">
        <f>VLOOKUP(O107,BulletType!A$1:F$35,3)</f>
        <v>0</v>
      </c>
      <c r="J107">
        <f>VLOOKUP(O107,BulletType!A$1:F$35,4)</f>
        <v>0</v>
      </c>
      <c r="K107">
        <f>VLOOKUP(O107,BulletType!A$1:F$35,5)</f>
        <v>4.8</v>
      </c>
      <c r="L107">
        <f>VLOOKUP(O107,BulletType!A$1:F$35,5)</f>
        <v>4.8</v>
      </c>
      <c r="M107">
        <f>VLOOKUP(O107,BulletType!A$1:F$35,6)</f>
        <v>2.4</v>
      </c>
      <c r="N107" s="3" t="str">
        <f>VLOOKUP(P107,BulletColor!A$2:B130,2)</f>
        <v>1,0.65,1</v>
      </c>
      <c r="O107">
        <v>3</v>
      </c>
      <c r="P107" s="2">
        <v>4</v>
      </c>
      <c r="Q107" s="2">
        <f t="shared" si="8"/>
        <v>1</v>
      </c>
    </row>
    <row r="108" spans="1:17" x14ac:dyDescent="0.2">
      <c r="A108" s="1">
        <f t="shared" si="6"/>
        <v>103050</v>
      </c>
      <c r="B108" s="3" t="str">
        <f>VLOOKUP(O108,BulletType!A$1:F$35,2)&amp;VLOOKUP(P108,BulletColor!A$1:C$25,3)</f>
        <v>环玉深蓝</v>
      </c>
      <c r="C108" s="3" t="str">
        <f t="shared" si="7"/>
        <v>Bullet103050</v>
      </c>
      <c r="D108" s="2">
        <f>VLOOKUP(O108,BulletType!A$2:N156,9)</f>
        <v>0</v>
      </c>
      <c r="E108" s="2">
        <f>VLOOKUP(O108,BulletType!A$2:N156,10)</f>
        <v>0</v>
      </c>
      <c r="F108" s="3" t="str">
        <f>CONCATENATE(VLOOKUP(O108,BulletType!A$2:I$35,8),VLOOKUP(P108,BulletColor!A$2:D$16,4))</f>
        <v>Bullet200050</v>
      </c>
      <c r="G108" s="3" t="str">
        <f>VLOOKUP(O108,BulletType!A$1:G$35,7)</f>
        <v>4,1</v>
      </c>
      <c r="H108" s="2">
        <f t="shared" si="5"/>
        <v>0</v>
      </c>
      <c r="I108">
        <f>VLOOKUP(O108,BulletType!A$1:F$35,3)</f>
        <v>0</v>
      </c>
      <c r="J108">
        <f>VLOOKUP(O108,BulletType!A$1:F$35,4)</f>
        <v>0</v>
      </c>
      <c r="K108">
        <f>VLOOKUP(O108,BulletType!A$1:F$35,5)</f>
        <v>4.8</v>
      </c>
      <c r="L108">
        <f>VLOOKUP(O108,BulletType!A$1:F$35,5)</f>
        <v>4.8</v>
      </c>
      <c r="M108">
        <f>VLOOKUP(O108,BulletType!A$1:F$35,6)</f>
        <v>2.4</v>
      </c>
      <c r="N108" s="3" t="str">
        <f>VLOOKUP(P108,BulletColor!A$2:B131,2)</f>
        <v>0,0.1,1</v>
      </c>
      <c r="O108">
        <v>3</v>
      </c>
      <c r="P108" s="2">
        <v>5</v>
      </c>
      <c r="Q108" s="2">
        <f t="shared" si="8"/>
        <v>0</v>
      </c>
    </row>
    <row r="109" spans="1:17" x14ac:dyDescent="0.2">
      <c r="A109" s="1">
        <f t="shared" si="6"/>
        <v>103051</v>
      </c>
      <c r="B109" s="3" t="str">
        <f>VLOOKUP(O109,BulletType!A$1:F$35,2)&amp;VLOOKUP(P109,BulletColor!A$1:C$25,3)</f>
        <v>环玉深蓝</v>
      </c>
      <c r="C109" s="3" t="str">
        <f t="shared" si="7"/>
        <v>Bullet103050</v>
      </c>
      <c r="D109" s="2">
        <f>VLOOKUP(O109,BulletType!A$2:N157,9)</f>
        <v>0</v>
      </c>
      <c r="E109" s="2">
        <f>VLOOKUP(O109,BulletType!A$2:N157,10)</f>
        <v>0</v>
      </c>
      <c r="F109" s="3" t="str">
        <f>CONCATENATE(VLOOKUP(O109,BulletType!A$2:I$35,8),VLOOKUP(P109,BulletColor!A$2:D$16,4))</f>
        <v>Bullet200050</v>
      </c>
      <c r="G109" s="3" t="str">
        <f>VLOOKUP(O109,BulletType!A$1:G$35,7)</f>
        <v>4,1</v>
      </c>
      <c r="H109" s="2">
        <f t="shared" si="5"/>
        <v>1</v>
      </c>
      <c r="I109">
        <f>VLOOKUP(O109,BulletType!A$1:F$35,3)</f>
        <v>0</v>
      </c>
      <c r="J109">
        <f>VLOOKUP(O109,BulletType!A$1:F$35,4)</f>
        <v>0</v>
      </c>
      <c r="K109">
        <f>VLOOKUP(O109,BulletType!A$1:F$35,5)</f>
        <v>4.8</v>
      </c>
      <c r="L109">
        <f>VLOOKUP(O109,BulletType!A$1:F$35,5)</f>
        <v>4.8</v>
      </c>
      <c r="M109">
        <f>VLOOKUP(O109,BulletType!A$1:F$35,6)</f>
        <v>2.4</v>
      </c>
      <c r="N109" s="3" t="str">
        <f>VLOOKUP(P109,BulletColor!A$2:B132,2)</f>
        <v>0,0.1,1</v>
      </c>
      <c r="O109">
        <v>3</v>
      </c>
      <c r="P109" s="2">
        <v>5</v>
      </c>
      <c r="Q109" s="2">
        <f t="shared" si="8"/>
        <v>1</v>
      </c>
    </row>
    <row r="110" spans="1:17" x14ac:dyDescent="0.2">
      <c r="A110" s="1">
        <f t="shared" si="6"/>
        <v>103060</v>
      </c>
      <c r="B110" s="3" t="str">
        <f>VLOOKUP(O110,BulletType!A$1:F$35,2)&amp;VLOOKUP(P110,BulletColor!A$1:C$25,3)</f>
        <v>环玉蓝</v>
      </c>
      <c r="C110" s="3" t="str">
        <f t="shared" si="7"/>
        <v>Bullet103060</v>
      </c>
      <c r="D110" s="2">
        <f>VLOOKUP(O110,BulletType!A$2:N158,9)</f>
        <v>0</v>
      </c>
      <c r="E110" s="2">
        <f>VLOOKUP(O110,BulletType!A$2:N158,10)</f>
        <v>0</v>
      </c>
      <c r="F110" s="3" t="str">
        <f>CONCATENATE(VLOOKUP(O110,BulletType!A$2:I$35,8),VLOOKUP(P110,BulletColor!A$2:D$16,4))</f>
        <v>Bullet200050</v>
      </c>
      <c r="G110" s="3" t="str">
        <f>VLOOKUP(O110,BulletType!A$1:G$35,7)</f>
        <v>4,1</v>
      </c>
      <c r="H110" s="2">
        <f t="shared" si="5"/>
        <v>0</v>
      </c>
      <c r="I110">
        <f>VLOOKUP(O110,BulletType!A$1:F$35,3)</f>
        <v>0</v>
      </c>
      <c r="J110">
        <f>VLOOKUP(O110,BulletType!A$1:F$35,4)</f>
        <v>0</v>
      </c>
      <c r="K110">
        <f>VLOOKUP(O110,BulletType!A$1:F$35,5)</f>
        <v>4.8</v>
      </c>
      <c r="L110">
        <f>VLOOKUP(O110,BulletType!A$1:F$35,5)</f>
        <v>4.8</v>
      </c>
      <c r="M110">
        <f>VLOOKUP(O110,BulletType!A$1:F$35,6)</f>
        <v>2.4</v>
      </c>
      <c r="N110" s="3" t="str">
        <f>VLOOKUP(P110,BulletColor!A$2:B133,2)</f>
        <v>0,0.1,1</v>
      </c>
      <c r="O110">
        <v>3</v>
      </c>
      <c r="P110" s="2">
        <v>6</v>
      </c>
      <c r="Q110" s="2">
        <f t="shared" si="8"/>
        <v>0</v>
      </c>
    </row>
    <row r="111" spans="1:17" x14ac:dyDescent="0.2">
      <c r="A111" s="1">
        <f t="shared" si="6"/>
        <v>103061</v>
      </c>
      <c r="B111" s="3" t="str">
        <f>VLOOKUP(O111,BulletType!A$1:F$35,2)&amp;VLOOKUP(P111,BulletColor!A$1:C$25,3)</f>
        <v>环玉蓝</v>
      </c>
      <c r="C111" s="3" t="str">
        <f t="shared" si="7"/>
        <v>Bullet103060</v>
      </c>
      <c r="D111" s="2">
        <f>VLOOKUP(O111,BulletType!A$2:N159,9)</f>
        <v>0</v>
      </c>
      <c r="E111" s="2">
        <f>VLOOKUP(O111,BulletType!A$2:N159,10)</f>
        <v>0</v>
      </c>
      <c r="F111" s="3" t="str">
        <f>CONCATENATE(VLOOKUP(O111,BulletType!A$2:I$35,8),VLOOKUP(P111,BulletColor!A$2:D$16,4))</f>
        <v>Bullet200050</v>
      </c>
      <c r="G111" s="3" t="str">
        <f>VLOOKUP(O111,BulletType!A$1:G$35,7)</f>
        <v>4,1</v>
      </c>
      <c r="H111" s="2">
        <f t="shared" si="5"/>
        <v>1</v>
      </c>
      <c r="I111">
        <f>VLOOKUP(O111,BulletType!A$1:F$35,3)</f>
        <v>0</v>
      </c>
      <c r="J111">
        <f>VLOOKUP(O111,BulletType!A$1:F$35,4)</f>
        <v>0</v>
      </c>
      <c r="K111">
        <f>VLOOKUP(O111,BulletType!A$1:F$35,5)</f>
        <v>4.8</v>
      </c>
      <c r="L111">
        <f>VLOOKUP(O111,BulletType!A$1:F$35,5)</f>
        <v>4.8</v>
      </c>
      <c r="M111">
        <f>VLOOKUP(O111,BulletType!A$1:F$35,6)</f>
        <v>2.4</v>
      </c>
      <c r="N111" s="3" t="str">
        <f>VLOOKUP(P111,BulletColor!A$2:B134,2)</f>
        <v>0,0.1,1</v>
      </c>
      <c r="O111">
        <v>3</v>
      </c>
      <c r="P111" s="2">
        <v>6</v>
      </c>
      <c r="Q111" s="2">
        <f t="shared" si="8"/>
        <v>1</v>
      </c>
    </row>
    <row r="112" spans="1:17" x14ac:dyDescent="0.2">
      <c r="A112" s="1">
        <f t="shared" si="6"/>
        <v>103070</v>
      </c>
      <c r="B112" s="3" t="str">
        <f>VLOOKUP(O112,BulletType!A$1:F$35,2)&amp;VLOOKUP(P112,BulletColor!A$1:C$25,3)</f>
        <v>环玉深青</v>
      </c>
      <c r="C112" s="3" t="str">
        <f t="shared" si="7"/>
        <v>Bullet103070</v>
      </c>
      <c r="D112" s="2">
        <f>VLOOKUP(O112,BulletType!A$2:N160,9)</f>
        <v>0</v>
      </c>
      <c r="E112" s="2">
        <f>VLOOKUP(O112,BulletType!A$2:N160,10)</f>
        <v>0</v>
      </c>
      <c r="F112" s="3" t="str">
        <f>CONCATENATE(VLOOKUP(O112,BulletType!A$2:I$35,8),VLOOKUP(P112,BulletColor!A$2:D$16,4))</f>
        <v>Bullet200070</v>
      </c>
      <c r="G112" s="3" t="str">
        <f>VLOOKUP(O112,BulletType!A$1:G$35,7)</f>
        <v>4,1</v>
      </c>
      <c r="H112" s="2">
        <f t="shared" si="5"/>
        <v>0</v>
      </c>
      <c r="I112">
        <f>VLOOKUP(O112,BulletType!A$1:F$35,3)</f>
        <v>0</v>
      </c>
      <c r="J112">
        <f>VLOOKUP(O112,BulletType!A$1:F$35,4)</f>
        <v>0</v>
      </c>
      <c r="K112">
        <f>VLOOKUP(O112,BulletType!A$1:F$35,5)</f>
        <v>4.8</v>
      </c>
      <c r="L112">
        <f>VLOOKUP(O112,BulletType!A$1:F$35,5)</f>
        <v>4.8</v>
      </c>
      <c r="M112">
        <f>VLOOKUP(O112,BulletType!A$1:F$35,6)</f>
        <v>2.4</v>
      </c>
      <c r="N112" s="3" t="str">
        <f>VLOOKUP(P112,BulletColor!A$2:B135,2)</f>
        <v>0.25,1,1</v>
      </c>
      <c r="O112">
        <v>3</v>
      </c>
      <c r="P112" s="2">
        <v>7</v>
      </c>
      <c r="Q112" s="2">
        <f t="shared" si="8"/>
        <v>0</v>
      </c>
    </row>
    <row r="113" spans="1:17" x14ac:dyDescent="0.2">
      <c r="A113" s="1">
        <f t="shared" si="6"/>
        <v>103071</v>
      </c>
      <c r="B113" s="3" t="str">
        <f>VLOOKUP(O113,BulletType!A$1:F$35,2)&amp;VLOOKUP(P113,BulletColor!A$1:C$25,3)</f>
        <v>环玉深青</v>
      </c>
      <c r="C113" s="3" t="str">
        <f t="shared" si="7"/>
        <v>Bullet103070</v>
      </c>
      <c r="D113" s="2">
        <f>VLOOKUP(O113,BulletType!A$2:N161,9)</f>
        <v>0</v>
      </c>
      <c r="E113" s="2">
        <f>VLOOKUP(O113,BulletType!A$2:N161,10)</f>
        <v>0</v>
      </c>
      <c r="F113" s="3" t="str">
        <f>CONCATENATE(VLOOKUP(O113,BulletType!A$2:I$35,8),VLOOKUP(P113,BulletColor!A$2:D$16,4))</f>
        <v>Bullet200070</v>
      </c>
      <c r="G113" s="3" t="str">
        <f>VLOOKUP(O113,BulletType!A$1:G$35,7)</f>
        <v>4,1</v>
      </c>
      <c r="H113" s="2">
        <f t="shared" si="5"/>
        <v>1</v>
      </c>
      <c r="I113">
        <f>VLOOKUP(O113,BulletType!A$1:F$35,3)</f>
        <v>0</v>
      </c>
      <c r="J113">
        <f>VLOOKUP(O113,BulletType!A$1:F$35,4)</f>
        <v>0</v>
      </c>
      <c r="K113">
        <f>VLOOKUP(O113,BulletType!A$1:F$35,5)</f>
        <v>4.8</v>
      </c>
      <c r="L113">
        <f>VLOOKUP(O113,BulletType!A$1:F$35,5)</f>
        <v>4.8</v>
      </c>
      <c r="M113">
        <f>VLOOKUP(O113,BulletType!A$1:F$35,6)</f>
        <v>2.4</v>
      </c>
      <c r="N113" s="3" t="str">
        <f>VLOOKUP(P113,BulletColor!A$2:B136,2)</f>
        <v>0.25,1,1</v>
      </c>
      <c r="O113">
        <v>3</v>
      </c>
      <c r="P113" s="2">
        <v>7</v>
      </c>
      <c r="Q113" s="2">
        <f t="shared" si="8"/>
        <v>1</v>
      </c>
    </row>
    <row r="114" spans="1:17" x14ac:dyDescent="0.2">
      <c r="A114" s="1">
        <f t="shared" si="6"/>
        <v>103080</v>
      </c>
      <c r="B114" s="3" t="str">
        <f>VLOOKUP(O114,BulletType!A$1:F$35,2)&amp;VLOOKUP(P114,BulletColor!A$1:C$25,3)</f>
        <v>环玉青</v>
      </c>
      <c r="C114" s="3" t="str">
        <f t="shared" si="7"/>
        <v>Bullet103080</v>
      </c>
      <c r="D114" s="2">
        <f>VLOOKUP(O114,BulletType!A$2:N162,9)</f>
        <v>0</v>
      </c>
      <c r="E114" s="2">
        <f>VLOOKUP(O114,BulletType!A$2:N162,10)</f>
        <v>0</v>
      </c>
      <c r="F114" s="3" t="str">
        <f>CONCATENATE(VLOOKUP(O114,BulletType!A$2:I$35,8),VLOOKUP(P114,BulletColor!A$2:D$16,4))</f>
        <v>Bullet200070</v>
      </c>
      <c r="G114" s="3" t="str">
        <f>VLOOKUP(O114,BulletType!A$1:G$35,7)</f>
        <v>4,1</v>
      </c>
      <c r="H114" s="2">
        <f t="shared" si="5"/>
        <v>0</v>
      </c>
      <c r="I114">
        <f>VLOOKUP(O114,BulletType!A$1:F$35,3)</f>
        <v>0</v>
      </c>
      <c r="J114">
        <f>VLOOKUP(O114,BulletType!A$1:F$35,4)</f>
        <v>0</v>
      </c>
      <c r="K114">
        <f>VLOOKUP(O114,BulletType!A$1:F$35,5)</f>
        <v>4.8</v>
      </c>
      <c r="L114">
        <f>VLOOKUP(O114,BulletType!A$1:F$35,5)</f>
        <v>4.8</v>
      </c>
      <c r="M114">
        <f>VLOOKUP(O114,BulletType!A$1:F$35,6)</f>
        <v>2.4</v>
      </c>
      <c r="N114" s="3" t="str">
        <f>VLOOKUP(P114,BulletColor!A$2:B137,2)</f>
        <v>0.25,1,1</v>
      </c>
      <c r="O114">
        <v>3</v>
      </c>
      <c r="P114" s="2">
        <v>8</v>
      </c>
      <c r="Q114" s="2">
        <f t="shared" si="8"/>
        <v>0</v>
      </c>
    </row>
    <row r="115" spans="1:17" x14ac:dyDescent="0.2">
      <c r="A115" s="1">
        <f t="shared" si="6"/>
        <v>103081</v>
      </c>
      <c r="B115" s="3" t="str">
        <f>VLOOKUP(O115,BulletType!A$1:F$35,2)&amp;VLOOKUP(P115,BulletColor!A$1:C$25,3)</f>
        <v>环玉青</v>
      </c>
      <c r="C115" s="3" t="str">
        <f t="shared" si="7"/>
        <v>Bullet103080</v>
      </c>
      <c r="D115" s="2">
        <f>VLOOKUP(O115,BulletType!A$2:N163,9)</f>
        <v>0</v>
      </c>
      <c r="E115" s="2">
        <f>VLOOKUP(O115,BulletType!A$2:N163,10)</f>
        <v>0</v>
      </c>
      <c r="F115" s="3" t="str">
        <f>CONCATENATE(VLOOKUP(O115,BulletType!A$2:I$35,8),VLOOKUP(P115,BulletColor!A$2:D$16,4))</f>
        <v>Bullet200070</v>
      </c>
      <c r="G115" s="3" t="str">
        <f>VLOOKUP(O115,BulletType!A$1:G$35,7)</f>
        <v>4,1</v>
      </c>
      <c r="H115" s="2">
        <f t="shared" si="5"/>
        <v>1</v>
      </c>
      <c r="I115">
        <f>VLOOKUP(O115,BulletType!A$1:F$35,3)</f>
        <v>0</v>
      </c>
      <c r="J115">
        <f>VLOOKUP(O115,BulletType!A$1:F$35,4)</f>
        <v>0</v>
      </c>
      <c r="K115">
        <f>VLOOKUP(O115,BulletType!A$1:F$35,5)</f>
        <v>4.8</v>
      </c>
      <c r="L115">
        <f>VLOOKUP(O115,BulletType!A$1:F$35,5)</f>
        <v>4.8</v>
      </c>
      <c r="M115">
        <f>VLOOKUP(O115,BulletType!A$1:F$35,6)</f>
        <v>2.4</v>
      </c>
      <c r="N115" s="3" t="str">
        <f>VLOOKUP(P115,BulletColor!A$2:B138,2)</f>
        <v>0.25,1,1</v>
      </c>
      <c r="O115">
        <v>3</v>
      </c>
      <c r="P115" s="2">
        <v>8</v>
      </c>
      <c r="Q115" s="2">
        <f t="shared" si="8"/>
        <v>1</v>
      </c>
    </row>
    <row r="116" spans="1:17" x14ac:dyDescent="0.2">
      <c r="A116" s="1">
        <f t="shared" si="6"/>
        <v>103090</v>
      </c>
      <c r="B116" s="3" t="str">
        <f>VLOOKUP(O116,BulletType!A$1:F$35,2)&amp;VLOOKUP(P116,BulletColor!A$1:C$25,3)</f>
        <v>环玉深绿</v>
      </c>
      <c r="C116" s="3" t="str">
        <f t="shared" si="7"/>
        <v>Bullet103090</v>
      </c>
      <c r="D116" s="2">
        <f>VLOOKUP(O116,BulletType!A$2:N164,9)</f>
        <v>0</v>
      </c>
      <c r="E116" s="2">
        <f>VLOOKUP(O116,BulletType!A$2:N164,10)</f>
        <v>0</v>
      </c>
      <c r="F116" s="3" t="str">
        <f>CONCATENATE(VLOOKUP(O116,BulletType!A$2:I$35,8),VLOOKUP(P116,BulletColor!A$2:D$16,4))</f>
        <v>Bullet200090</v>
      </c>
      <c r="G116" s="3" t="str">
        <f>VLOOKUP(O116,BulletType!A$1:G$35,7)</f>
        <v>4,1</v>
      </c>
      <c r="H116" s="2">
        <f t="shared" si="5"/>
        <v>0</v>
      </c>
      <c r="I116">
        <f>VLOOKUP(O116,BulletType!A$1:F$35,3)</f>
        <v>0</v>
      </c>
      <c r="J116">
        <f>VLOOKUP(O116,BulletType!A$1:F$35,4)</f>
        <v>0</v>
      </c>
      <c r="K116">
        <f>VLOOKUP(O116,BulletType!A$1:F$35,5)</f>
        <v>4.8</v>
      </c>
      <c r="L116">
        <f>VLOOKUP(O116,BulletType!A$1:F$35,5)</f>
        <v>4.8</v>
      </c>
      <c r="M116">
        <f>VLOOKUP(O116,BulletType!A$1:F$35,6)</f>
        <v>2.4</v>
      </c>
      <c r="N116" s="3" t="str">
        <f>VLOOKUP(P116,BulletColor!A$2:B139,2)</f>
        <v>0.36,0.78,1</v>
      </c>
      <c r="O116">
        <v>3</v>
      </c>
      <c r="P116" s="2">
        <v>9</v>
      </c>
      <c r="Q116" s="2">
        <f t="shared" si="8"/>
        <v>0</v>
      </c>
    </row>
    <row r="117" spans="1:17" x14ac:dyDescent="0.2">
      <c r="A117" s="1">
        <f t="shared" si="6"/>
        <v>103091</v>
      </c>
      <c r="B117" s="3" t="str">
        <f>VLOOKUP(O117,BulletType!A$1:F$35,2)&amp;VLOOKUP(P117,BulletColor!A$1:C$25,3)</f>
        <v>环玉深绿</v>
      </c>
      <c r="C117" s="3" t="str">
        <f t="shared" si="7"/>
        <v>Bullet103090</v>
      </c>
      <c r="D117" s="2">
        <f>VLOOKUP(O117,BulletType!A$2:N165,9)</f>
        <v>0</v>
      </c>
      <c r="E117" s="2">
        <f>VLOOKUP(O117,BulletType!A$2:N165,10)</f>
        <v>0</v>
      </c>
      <c r="F117" s="3" t="str">
        <f>CONCATENATE(VLOOKUP(O117,BulletType!A$2:I$35,8),VLOOKUP(P117,BulletColor!A$2:D$16,4))</f>
        <v>Bullet200090</v>
      </c>
      <c r="G117" s="3" t="str">
        <f>VLOOKUP(O117,BulletType!A$1:G$35,7)</f>
        <v>4,1</v>
      </c>
      <c r="H117" s="2">
        <f t="shared" si="5"/>
        <v>1</v>
      </c>
      <c r="I117">
        <f>VLOOKUP(O117,BulletType!A$1:F$35,3)</f>
        <v>0</v>
      </c>
      <c r="J117">
        <f>VLOOKUP(O117,BulletType!A$1:F$35,4)</f>
        <v>0</v>
      </c>
      <c r="K117">
        <f>VLOOKUP(O117,BulletType!A$1:F$35,5)</f>
        <v>4.8</v>
      </c>
      <c r="L117">
        <f>VLOOKUP(O117,BulletType!A$1:F$35,5)</f>
        <v>4.8</v>
      </c>
      <c r="M117">
        <f>VLOOKUP(O117,BulletType!A$1:F$35,6)</f>
        <v>2.4</v>
      </c>
      <c r="N117" s="3" t="str">
        <f>VLOOKUP(P117,BulletColor!A$2:B140,2)</f>
        <v>0.36,0.78,1</v>
      </c>
      <c r="O117">
        <v>3</v>
      </c>
      <c r="P117" s="2">
        <v>9</v>
      </c>
      <c r="Q117" s="2">
        <f t="shared" si="8"/>
        <v>1</v>
      </c>
    </row>
    <row r="118" spans="1:17" x14ac:dyDescent="0.2">
      <c r="A118" s="1">
        <f t="shared" si="6"/>
        <v>103100</v>
      </c>
      <c r="B118" s="3" t="str">
        <f>VLOOKUP(O118,BulletType!A$1:F$35,2)&amp;VLOOKUP(P118,BulletColor!A$1:C$25,3)</f>
        <v>环玉绿</v>
      </c>
      <c r="C118" s="3" t="str">
        <f t="shared" si="7"/>
        <v>Bullet103100</v>
      </c>
      <c r="D118" s="2">
        <f>VLOOKUP(O118,BulletType!A$2:N166,9)</f>
        <v>0</v>
      </c>
      <c r="E118" s="2">
        <f>VLOOKUP(O118,BulletType!A$2:N166,10)</f>
        <v>0</v>
      </c>
      <c r="F118" s="3" t="str">
        <f>CONCATENATE(VLOOKUP(O118,BulletType!A$2:I$35,8),VLOOKUP(P118,BulletColor!A$2:D$16,4))</f>
        <v>Bullet200090</v>
      </c>
      <c r="G118" s="3" t="str">
        <f>VLOOKUP(O118,BulletType!A$1:G$35,7)</f>
        <v>4,1</v>
      </c>
      <c r="H118" s="2">
        <f t="shared" si="5"/>
        <v>0</v>
      </c>
      <c r="I118">
        <f>VLOOKUP(O118,BulletType!A$1:F$35,3)</f>
        <v>0</v>
      </c>
      <c r="J118">
        <f>VLOOKUP(O118,BulletType!A$1:F$35,4)</f>
        <v>0</v>
      </c>
      <c r="K118">
        <f>VLOOKUP(O118,BulletType!A$1:F$35,5)</f>
        <v>4.8</v>
      </c>
      <c r="L118">
        <f>VLOOKUP(O118,BulletType!A$1:F$35,5)</f>
        <v>4.8</v>
      </c>
      <c r="M118">
        <f>VLOOKUP(O118,BulletType!A$1:F$35,6)</f>
        <v>2.4</v>
      </c>
      <c r="N118" s="3" t="str">
        <f>VLOOKUP(P118,BulletColor!A$2:B141,2)</f>
        <v>0.36,0.78,1</v>
      </c>
      <c r="O118">
        <v>3</v>
      </c>
      <c r="P118" s="2">
        <v>10</v>
      </c>
      <c r="Q118" s="2">
        <f t="shared" si="8"/>
        <v>0</v>
      </c>
    </row>
    <row r="119" spans="1:17" x14ac:dyDescent="0.2">
      <c r="A119" s="1">
        <f t="shared" si="6"/>
        <v>103101</v>
      </c>
      <c r="B119" s="3" t="str">
        <f>VLOOKUP(O119,BulletType!A$1:F$35,2)&amp;VLOOKUP(P119,BulletColor!A$1:C$25,3)</f>
        <v>环玉绿</v>
      </c>
      <c r="C119" s="3" t="str">
        <f t="shared" si="7"/>
        <v>Bullet103100</v>
      </c>
      <c r="D119" s="2">
        <f>VLOOKUP(O119,BulletType!A$2:N167,9)</f>
        <v>0</v>
      </c>
      <c r="E119" s="2">
        <f>VLOOKUP(O119,BulletType!A$2:N167,10)</f>
        <v>0</v>
      </c>
      <c r="F119" s="3" t="str">
        <f>CONCATENATE(VLOOKUP(O119,BulletType!A$2:I$35,8),VLOOKUP(P119,BulletColor!A$2:D$16,4))</f>
        <v>Bullet200090</v>
      </c>
      <c r="G119" s="3" t="str">
        <f>VLOOKUP(O119,BulletType!A$1:G$35,7)</f>
        <v>4,1</v>
      </c>
      <c r="H119" s="2">
        <f t="shared" si="5"/>
        <v>1</v>
      </c>
      <c r="I119">
        <f>VLOOKUP(O119,BulletType!A$1:F$35,3)</f>
        <v>0</v>
      </c>
      <c r="J119">
        <f>VLOOKUP(O119,BulletType!A$1:F$35,4)</f>
        <v>0</v>
      </c>
      <c r="K119">
        <f>VLOOKUP(O119,BulletType!A$1:F$35,5)</f>
        <v>4.8</v>
      </c>
      <c r="L119">
        <f>VLOOKUP(O119,BulletType!A$1:F$35,5)</f>
        <v>4.8</v>
      </c>
      <c r="M119">
        <f>VLOOKUP(O119,BulletType!A$1:F$35,6)</f>
        <v>2.4</v>
      </c>
      <c r="N119" s="3" t="str">
        <f>VLOOKUP(P119,BulletColor!A$2:B142,2)</f>
        <v>0.36,0.78,1</v>
      </c>
      <c r="O119">
        <v>3</v>
      </c>
      <c r="P119" s="2">
        <v>10</v>
      </c>
      <c r="Q119" s="2">
        <f t="shared" si="8"/>
        <v>1</v>
      </c>
    </row>
    <row r="120" spans="1:17" x14ac:dyDescent="0.2">
      <c r="A120" s="1">
        <f t="shared" si="6"/>
        <v>103110</v>
      </c>
      <c r="B120" s="3" t="str">
        <f>VLOOKUP(O120,BulletType!A$1:F$35,2)&amp;VLOOKUP(P120,BulletColor!A$1:C$25,3)</f>
        <v>环玉黄绿</v>
      </c>
      <c r="C120" s="3" t="str">
        <f t="shared" si="7"/>
        <v>Bullet103110</v>
      </c>
      <c r="D120" s="2">
        <f>VLOOKUP(O120,BulletType!A$2:N168,9)</f>
        <v>0</v>
      </c>
      <c r="E120" s="2">
        <f>VLOOKUP(O120,BulletType!A$2:N168,10)</f>
        <v>0</v>
      </c>
      <c r="F120" s="3" t="str">
        <f>CONCATENATE(VLOOKUP(O120,BulletType!A$2:I$35,8),VLOOKUP(P120,BulletColor!A$2:D$16,4))</f>
        <v>Bullet200090</v>
      </c>
      <c r="G120" s="3" t="str">
        <f>VLOOKUP(O120,BulletType!A$1:G$35,7)</f>
        <v>4,1</v>
      </c>
      <c r="H120" s="2">
        <f t="shared" si="5"/>
        <v>0</v>
      </c>
      <c r="I120">
        <f>VLOOKUP(O120,BulletType!A$1:F$35,3)</f>
        <v>0</v>
      </c>
      <c r="J120">
        <f>VLOOKUP(O120,BulletType!A$1:F$35,4)</f>
        <v>0</v>
      </c>
      <c r="K120">
        <f>VLOOKUP(O120,BulletType!A$1:F$35,5)</f>
        <v>4.8</v>
      </c>
      <c r="L120">
        <f>VLOOKUP(O120,BulletType!A$1:F$35,5)</f>
        <v>4.8</v>
      </c>
      <c r="M120">
        <f>VLOOKUP(O120,BulletType!A$1:F$35,6)</f>
        <v>2.4</v>
      </c>
      <c r="N120" s="3" t="str">
        <f>VLOOKUP(P120,BulletColor!A$2:B143,2)</f>
        <v>0.9,1,0.4</v>
      </c>
      <c r="O120">
        <v>3</v>
      </c>
      <c r="P120" s="2">
        <v>11</v>
      </c>
      <c r="Q120" s="2">
        <f t="shared" si="8"/>
        <v>0</v>
      </c>
    </row>
    <row r="121" spans="1:17" x14ac:dyDescent="0.2">
      <c r="A121" s="1">
        <f t="shared" si="6"/>
        <v>103111</v>
      </c>
      <c r="B121" s="3" t="str">
        <f>VLOOKUP(O121,BulletType!A$1:F$35,2)&amp;VLOOKUP(P121,BulletColor!A$1:C$25,3)</f>
        <v>环玉黄绿</v>
      </c>
      <c r="C121" s="3" t="str">
        <f t="shared" si="7"/>
        <v>Bullet103110</v>
      </c>
      <c r="D121" s="2">
        <f>VLOOKUP(O121,BulletType!A$2:N169,9)</f>
        <v>0</v>
      </c>
      <c r="E121" s="2">
        <f>VLOOKUP(O121,BulletType!A$2:N169,10)</f>
        <v>0</v>
      </c>
      <c r="F121" s="3" t="str">
        <f>CONCATENATE(VLOOKUP(O121,BulletType!A$2:I$35,8),VLOOKUP(P121,BulletColor!A$2:D$16,4))</f>
        <v>Bullet200090</v>
      </c>
      <c r="G121" s="3" t="str">
        <f>VLOOKUP(O121,BulletType!A$1:G$35,7)</f>
        <v>4,1</v>
      </c>
      <c r="H121" s="2">
        <f t="shared" si="5"/>
        <v>1</v>
      </c>
      <c r="I121">
        <f>VLOOKUP(O121,BulletType!A$1:F$35,3)</f>
        <v>0</v>
      </c>
      <c r="J121">
        <f>VLOOKUP(O121,BulletType!A$1:F$35,4)</f>
        <v>0</v>
      </c>
      <c r="K121">
        <f>VLOOKUP(O121,BulletType!A$1:F$35,5)</f>
        <v>4.8</v>
      </c>
      <c r="L121">
        <f>VLOOKUP(O121,BulletType!A$1:F$35,5)</f>
        <v>4.8</v>
      </c>
      <c r="M121">
        <f>VLOOKUP(O121,BulletType!A$1:F$35,6)</f>
        <v>2.4</v>
      </c>
      <c r="N121" s="3" t="str">
        <f>VLOOKUP(P121,BulletColor!A$2:B144,2)</f>
        <v>0.9,1,0.4</v>
      </c>
      <c r="O121">
        <v>3</v>
      </c>
      <c r="P121" s="2">
        <v>11</v>
      </c>
      <c r="Q121" s="2">
        <f t="shared" si="8"/>
        <v>1</v>
      </c>
    </row>
    <row r="122" spans="1:17" x14ac:dyDescent="0.2">
      <c r="A122" s="1">
        <f t="shared" si="6"/>
        <v>103120</v>
      </c>
      <c r="B122" s="3" t="str">
        <f>VLOOKUP(O122,BulletType!A$1:F$35,2)&amp;VLOOKUP(P122,BulletColor!A$1:C$25,3)</f>
        <v>环玉深黄</v>
      </c>
      <c r="C122" s="3" t="str">
        <f t="shared" si="7"/>
        <v>Bullet103120</v>
      </c>
      <c r="D122" s="2">
        <f>VLOOKUP(O122,BulletType!A$2:N170,9)</f>
        <v>0</v>
      </c>
      <c r="E122" s="2">
        <f>VLOOKUP(O122,BulletType!A$2:N170,10)</f>
        <v>0</v>
      </c>
      <c r="F122" s="3" t="str">
        <f>CONCATENATE(VLOOKUP(O122,BulletType!A$2:I$35,8),VLOOKUP(P122,BulletColor!A$2:D$16,4))</f>
        <v>Bullet200090</v>
      </c>
      <c r="G122" s="3" t="str">
        <f>VLOOKUP(O122,BulletType!A$1:G$35,7)</f>
        <v>4,1</v>
      </c>
      <c r="H122" s="2">
        <f t="shared" si="5"/>
        <v>0</v>
      </c>
      <c r="I122">
        <f>VLOOKUP(O122,BulletType!A$1:F$35,3)</f>
        <v>0</v>
      </c>
      <c r="J122">
        <f>VLOOKUP(O122,BulletType!A$1:F$35,4)</f>
        <v>0</v>
      </c>
      <c r="K122">
        <f>VLOOKUP(O122,BulletType!A$1:F$35,5)</f>
        <v>4.8</v>
      </c>
      <c r="L122">
        <f>VLOOKUP(O122,BulletType!A$1:F$35,5)</f>
        <v>4.8</v>
      </c>
      <c r="M122">
        <f>VLOOKUP(O122,BulletType!A$1:F$35,6)</f>
        <v>2.4</v>
      </c>
      <c r="N122" s="3" t="str">
        <f>VLOOKUP(P122,BulletColor!A$2:B145,2)</f>
        <v>0.9,1,0.4</v>
      </c>
      <c r="O122">
        <v>3</v>
      </c>
      <c r="P122" s="2">
        <v>12</v>
      </c>
      <c r="Q122" s="2">
        <f t="shared" si="8"/>
        <v>0</v>
      </c>
    </row>
    <row r="123" spans="1:17" x14ac:dyDescent="0.2">
      <c r="A123" s="1">
        <f t="shared" si="6"/>
        <v>103121</v>
      </c>
      <c r="B123" s="3" t="str">
        <f>VLOOKUP(O123,BulletType!A$1:F$35,2)&amp;VLOOKUP(P123,BulletColor!A$1:C$25,3)</f>
        <v>环玉深黄</v>
      </c>
      <c r="C123" s="3" t="str">
        <f t="shared" si="7"/>
        <v>Bullet103120</v>
      </c>
      <c r="D123" s="2">
        <f>VLOOKUP(O123,BulletType!A$2:N171,9)</f>
        <v>0</v>
      </c>
      <c r="E123" s="2">
        <f>VLOOKUP(O123,BulletType!A$2:N171,10)</f>
        <v>0</v>
      </c>
      <c r="F123" s="3" t="str">
        <f>CONCATENATE(VLOOKUP(O123,BulletType!A$2:I$35,8),VLOOKUP(P123,BulletColor!A$2:D$16,4))</f>
        <v>Bullet200090</v>
      </c>
      <c r="G123" s="3" t="str">
        <f>VLOOKUP(O123,BulletType!A$1:G$35,7)</f>
        <v>4,1</v>
      </c>
      <c r="H123" s="2">
        <f t="shared" si="5"/>
        <v>1</v>
      </c>
      <c r="I123">
        <f>VLOOKUP(O123,BulletType!A$1:F$35,3)</f>
        <v>0</v>
      </c>
      <c r="J123">
        <f>VLOOKUP(O123,BulletType!A$1:F$35,4)</f>
        <v>0</v>
      </c>
      <c r="K123">
        <f>VLOOKUP(O123,BulletType!A$1:F$35,5)</f>
        <v>4.8</v>
      </c>
      <c r="L123">
        <f>VLOOKUP(O123,BulletType!A$1:F$35,5)</f>
        <v>4.8</v>
      </c>
      <c r="M123">
        <f>VLOOKUP(O123,BulletType!A$1:F$35,6)</f>
        <v>2.4</v>
      </c>
      <c r="N123" s="3" t="str">
        <f>VLOOKUP(P123,BulletColor!A$2:B146,2)</f>
        <v>0.9,1,0.4</v>
      </c>
      <c r="O123">
        <v>3</v>
      </c>
      <c r="P123" s="2">
        <v>12</v>
      </c>
      <c r="Q123" s="2">
        <f t="shared" si="8"/>
        <v>1</v>
      </c>
    </row>
    <row r="124" spans="1:17" x14ac:dyDescent="0.2">
      <c r="A124" s="1">
        <f t="shared" si="6"/>
        <v>103130</v>
      </c>
      <c r="B124" s="3" t="str">
        <f>VLOOKUP(O124,BulletType!A$1:F$35,2)&amp;VLOOKUP(P124,BulletColor!A$1:C$25,3)</f>
        <v>环玉浅黄</v>
      </c>
      <c r="C124" s="3" t="str">
        <f t="shared" si="7"/>
        <v>Bullet103130</v>
      </c>
      <c r="D124" s="2">
        <f>VLOOKUP(O124,BulletType!A$2:N172,9)</f>
        <v>0</v>
      </c>
      <c r="E124" s="2">
        <f>VLOOKUP(O124,BulletType!A$2:N172,10)</f>
        <v>0</v>
      </c>
      <c r="F124" s="3" t="str">
        <f>CONCATENATE(VLOOKUP(O124,BulletType!A$2:I$35,8),VLOOKUP(P124,BulletColor!A$2:D$16,4))</f>
        <v>Bullet200130</v>
      </c>
      <c r="G124" s="3" t="str">
        <f>VLOOKUP(O124,BulletType!A$1:G$35,7)</f>
        <v>4,1</v>
      </c>
      <c r="H124" s="2">
        <f t="shared" si="5"/>
        <v>0</v>
      </c>
      <c r="I124">
        <f>VLOOKUP(O124,BulletType!A$1:F$35,3)</f>
        <v>0</v>
      </c>
      <c r="J124">
        <f>VLOOKUP(O124,BulletType!A$1:F$35,4)</f>
        <v>0</v>
      </c>
      <c r="K124">
        <f>VLOOKUP(O124,BulletType!A$1:F$35,5)</f>
        <v>4.8</v>
      </c>
      <c r="L124">
        <f>VLOOKUP(O124,BulletType!A$1:F$35,5)</f>
        <v>4.8</v>
      </c>
      <c r="M124">
        <f>VLOOKUP(O124,BulletType!A$1:F$35,6)</f>
        <v>2.4</v>
      </c>
      <c r="N124" s="3" t="str">
        <f>VLOOKUP(P124,BulletColor!A$2:B147,2)</f>
        <v>0.9,1,0.4</v>
      </c>
      <c r="O124">
        <v>3</v>
      </c>
      <c r="P124" s="2">
        <v>13</v>
      </c>
      <c r="Q124" s="2">
        <f t="shared" si="8"/>
        <v>0</v>
      </c>
    </row>
    <row r="125" spans="1:17" x14ac:dyDescent="0.2">
      <c r="A125" s="1">
        <f t="shared" si="6"/>
        <v>103131</v>
      </c>
      <c r="B125" s="3" t="str">
        <f>VLOOKUP(O125,BulletType!A$1:F$35,2)&amp;VLOOKUP(P125,BulletColor!A$1:C$25,3)</f>
        <v>环玉浅黄</v>
      </c>
      <c r="C125" s="3" t="str">
        <f t="shared" si="7"/>
        <v>Bullet103130</v>
      </c>
      <c r="D125" s="2">
        <f>VLOOKUP(O125,BulletType!A$2:N173,9)</f>
        <v>0</v>
      </c>
      <c r="E125" s="2">
        <f>VLOOKUP(O125,BulletType!A$2:N173,10)</f>
        <v>0</v>
      </c>
      <c r="F125" s="3" t="str">
        <f>CONCATENATE(VLOOKUP(O125,BulletType!A$2:I$35,8),VLOOKUP(P125,BulletColor!A$2:D$16,4))</f>
        <v>Bullet200130</v>
      </c>
      <c r="G125" s="3" t="str">
        <f>VLOOKUP(O125,BulletType!A$1:G$35,7)</f>
        <v>4,1</v>
      </c>
      <c r="H125" s="2">
        <f t="shared" si="5"/>
        <v>1</v>
      </c>
      <c r="I125">
        <f>VLOOKUP(O125,BulletType!A$1:F$35,3)</f>
        <v>0</v>
      </c>
      <c r="J125">
        <f>VLOOKUP(O125,BulletType!A$1:F$35,4)</f>
        <v>0</v>
      </c>
      <c r="K125">
        <f>VLOOKUP(O125,BulletType!A$1:F$35,5)</f>
        <v>4.8</v>
      </c>
      <c r="L125">
        <f>VLOOKUP(O125,BulletType!A$1:F$35,5)</f>
        <v>4.8</v>
      </c>
      <c r="M125">
        <f>VLOOKUP(O125,BulletType!A$1:F$35,6)</f>
        <v>2.4</v>
      </c>
      <c r="N125" s="3" t="str">
        <f>VLOOKUP(P125,BulletColor!A$2:B148,2)</f>
        <v>0.9,1,0.4</v>
      </c>
      <c r="O125">
        <v>3</v>
      </c>
      <c r="P125" s="2">
        <v>13</v>
      </c>
      <c r="Q125" s="2">
        <f t="shared" si="8"/>
        <v>1</v>
      </c>
    </row>
    <row r="126" spans="1:17" x14ac:dyDescent="0.2">
      <c r="A126" s="1">
        <f t="shared" si="6"/>
        <v>103140</v>
      </c>
      <c r="B126" s="3" t="str">
        <f>VLOOKUP(O126,BulletType!A$1:F$35,2)&amp;VLOOKUP(P126,BulletColor!A$1:C$25,3)</f>
        <v>环玉棕黄</v>
      </c>
      <c r="C126" s="3" t="str">
        <f t="shared" si="7"/>
        <v>Bullet103140</v>
      </c>
      <c r="D126" s="2">
        <f>VLOOKUP(O126,BulletType!A$2:N174,9)</f>
        <v>0</v>
      </c>
      <c r="E126" s="2">
        <f>VLOOKUP(O126,BulletType!A$2:N174,10)</f>
        <v>0</v>
      </c>
      <c r="F126" s="3" t="str">
        <f>CONCATENATE(VLOOKUP(O126,BulletType!A$2:I$35,8),VLOOKUP(P126,BulletColor!A$2:D$16,4))</f>
        <v>Bullet200130</v>
      </c>
      <c r="G126" s="3" t="str">
        <f>VLOOKUP(O126,BulletType!A$1:G$35,7)</f>
        <v>4,1</v>
      </c>
      <c r="H126" s="2">
        <f t="shared" si="5"/>
        <v>0</v>
      </c>
      <c r="I126">
        <f>VLOOKUP(O126,BulletType!A$1:F$35,3)</f>
        <v>0</v>
      </c>
      <c r="J126">
        <f>VLOOKUP(O126,BulletType!A$1:F$35,4)</f>
        <v>0</v>
      </c>
      <c r="K126">
        <f>VLOOKUP(O126,BulletType!A$1:F$35,5)</f>
        <v>4.8</v>
      </c>
      <c r="L126">
        <f>VLOOKUP(O126,BulletType!A$1:F$35,5)</f>
        <v>4.8</v>
      </c>
      <c r="M126">
        <f>VLOOKUP(O126,BulletType!A$1:F$35,6)</f>
        <v>2.4</v>
      </c>
      <c r="N126" s="3" t="str">
        <f>VLOOKUP(P126,BulletColor!A$2:B149,2)</f>
        <v>0.9,1,0.4</v>
      </c>
      <c r="O126">
        <v>3</v>
      </c>
      <c r="P126" s="2">
        <v>14</v>
      </c>
      <c r="Q126" s="2">
        <f t="shared" si="8"/>
        <v>0</v>
      </c>
    </row>
    <row r="127" spans="1:17" x14ac:dyDescent="0.2">
      <c r="A127" s="1">
        <f t="shared" si="6"/>
        <v>103141</v>
      </c>
      <c r="B127" s="3" t="str">
        <f>VLOOKUP(O127,BulletType!A$1:F$35,2)&amp;VLOOKUP(P127,BulletColor!A$1:C$25,3)</f>
        <v>环玉棕黄</v>
      </c>
      <c r="C127" s="3" t="str">
        <f t="shared" si="7"/>
        <v>Bullet103140</v>
      </c>
      <c r="D127" s="2">
        <f>VLOOKUP(O127,BulletType!A$2:N175,9)</f>
        <v>0</v>
      </c>
      <c r="E127" s="2">
        <f>VLOOKUP(O127,BulletType!A$2:N175,10)</f>
        <v>0</v>
      </c>
      <c r="F127" s="3" t="str">
        <f>CONCATENATE(VLOOKUP(O127,BulletType!A$2:I$35,8),VLOOKUP(P127,BulletColor!A$2:D$16,4))</f>
        <v>Bullet200130</v>
      </c>
      <c r="G127" s="3" t="str">
        <f>VLOOKUP(O127,BulletType!A$1:G$35,7)</f>
        <v>4,1</v>
      </c>
      <c r="H127" s="2">
        <f t="shared" si="5"/>
        <v>1</v>
      </c>
      <c r="I127">
        <f>VLOOKUP(O127,BulletType!A$1:F$35,3)</f>
        <v>0</v>
      </c>
      <c r="J127">
        <f>VLOOKUP(O127,BulletType!A$1:F$35,4)</f>
        <v>0</v>
      </c>
      <c r="K127">
        <f>VLOOKUP(O127,BulletType!A$1:F$35,5)</f>
        <v>4.8</v>
      </c>
      <c r="L127">
        <f>VLOOKUP(O127,BulletType!A$1:F$35,5)</f>
        <v>4.8</v>
      </c>
      <c r="M127">
        <f>VLOOKUP(O127,BulletType!A$1:F$35,6)</f>
        <v>2.4</v>
      </c>
      <c r="N127" s="3" t="str">
        <f>VLOOKUP(P127,BulletColor!A$2:B150,2)</f>
        <v>0.9,1,0.4</v>
      </c>
      <c r="O127">
        <v>3</v>
      </c>
      <c r="P127" s="2">
        <v>14</v>
      </c>
      <c r="Q127" s="2">
        <f t="shared" si="8"/>
        <v>1</v>
      </c>
    </row>
    <row r="128" spans="1:17" x14ac:dyDescent="0.2">
      <c r="A128" s="1">
        <f t="shared" si="6"/>
        <v>103150</v>
      </c>
      <c r="B128" s="3" t="str">
        <f>VLOOKUP(O128,BulletType!A$1:F$35,2)&amp;VLOOKUP(P128,BulletColor!A$1:C$25,3)</f>
        <v>环玉白</v>
      </c>
      <c r="C128" s="3" t="str">
        <f t="shared" si="7"/>
        <v>Bullet103150</v>
      </c>
      <c r="D128" s="2">
        <f>VLOOKUP(O128,BulletType!A$2:N176,9)</f>
        <v>0</v>
      </c>
      <c r="E128" s="2">
        <f>VLOOKUP(O128,BulletType!A$2:N176,10)</f>
        <v>0</v>
      </c>
      <c r="F128" s="3" t="str">
        <f>CONCATENATE(VLOOKUP(O128,BulletType!A$2:I$35,8),VLOOKUP(P128,BulletColor!A$2:D$16,4))</f>
        <v>Bullet200130</v>
      </c>
      <c r="G128" s="3" t="str">
        <f>VLOOKUP(O128,BulletType!A$1:G$35,7)</f>
        <v>4,1</v>
      </c>
      <c r="H128" s="2">
        <f t="shared" si="5"/>
        <v>0</v>
      </c>
      <c r="I128">
        <f>VLOOKUP(O128,BulletType!A$1:F$35,3)</f>
        <v>0</v>
      </c>
      <c r="J128">
        <f>VLOOKUP(O128,BulletType!A$1:F$35,4)</f>
        <v>0</v>
      </c>
      <c r="K128">
        <f>VLOOKUP(O128,BulletType!A$1:F$35,5)</f>
        <v>4.8</v>
      </c>
      <c r="L128">
        <f>VLOOKUP(O128,BulletType!A$1:F$35,5)</f>
        <v>4.8</v>
      </c>
      <c r="M128">
        <f>VLOOKUP(O128,BulletType!A$1:F$35,6)</f>
        <v>2.4</v>
      </c>
      <c r="N128" s="3" t="str">
        <f>VLOOKUP(P128,BulletColor!A$2:B151,2)</f>
        <v>0.8,0.8,0.8</v>
      </c>
      <c r="O128">
        <v>3</v>
      </c>
      <c r="P128" s="2">
        <v>15</v>
      </c>
      <c r="Q128" s="2">
        <f t="shared" si="8"/>
        <v>0</v>
      </c>
    </row>
    <row r="129" spans="1:17" x14ac:dyDescent="0.2">
      <c r="A129" s="1">
        <f t="shared" si="6"/>
        <v>103151</v>
      </c>
      <c r="B129" s="3" t="str">
        <f>VLOOKUP(O129,BulletType!A$1:F$35,2)&amp;VLOOKUP(P129,BulletColor!A$1:C$25,3)</f>
        <v>环玉白</v>
      </c>
      <c r="C129" s="3" t="str">
        <f t="shared" si="7"/>
        <v>Bullet103150</v>
      </c>
      <c r="D129" s="2">
        <f>VLOOKUP(O129,BulletType!A$2:N177,9)</f>
        <v>0</v>
      </c>
      <c r="E129" s="2">
        <f>VLOOKUP(O129,BulletType!A$2:N177,10)</f>
        <v>0</v>
      </c>
      <c r="F129" s="3" t="str">
        <f>CONCATENATE(VLOOKUP(O129,BulletType!A$2:I$35,8),VLOOKUP(P129,BulletColor!A$2:D$16,4))</f>
        <v>Bullet200130</v>
      </c>
      <c r="G129" s="3" t="str">
        <f>VLOOKUP(O129,BulletType!A$1:G$35,7)</f>
        <v>4,1</v>
      </c>
      <c r="H129" s="2">
        <f t="shared" si="5"/>
        <v>1</v>
      </c>
      <c r="I129">
        <f>VLOOKUP(O129,BulletType!A$1:F$35,3)</f>
        <v>0</v>
      </c>
      <c r="J129">
        <f>VLOOKUP(O129,BulletType!A$1:F$35,4)</f>
        <v>0</v>
      </c>
      <c r="K129">
        <f>VLOOKUP(O129,BulletType!A$1:F$35,5)</f>
        <v>4.8</v>
      </c>
      <c r="L129">
        <f>VLOOKUP(O129,BulletType!A$1:F$35,5)</f>
        <v>4.8</v>
      </c>
      <c r="M129">
        <f>VLOOKUP(O129,BulletType!A$1:F$35,6)</f>
        <v>2.4</v>
      </c>
      <c r="N129" s="3" t="str">
        <f>VLOOKUP(P129,BulletColor!A$2:B152,2)</f>
        <v>0.8,0.8,0.8</v>
      </c>
      <c r="O129">
        <v>3</v>
      </c>
      <c r="P129" s="2">
        <v>15</v>
      </c>
      <c r="Q129" s="2">
        <f t="shared" si="8"/>
        <v>1</v>
      </c>
    </row>
    <row r="130" spans="1:17" x14ac:dyDescent="0.2">
      <c r="A130" s="1">
        <f t="shared" si="6"/>
        <v>104000</v>
      </c>
      <c r="B130" s="3" t="str">
        <f>VLOOKUP(O130,BulletType!A$1:F$35,2)&amp;VLOOKUP(P130,BulletColor!A$1:C$25,3)</f>
        <v>米弹灰</v>
      </c>
      <c r="C130" s="3" t="str">
        <f t="shared" si="7"/>
        <v>Bullet104000</v>
      </c>
      <c r="D130" s="2">
        <f>VLOOKUP(O130,BulletType!A$2:N178,9)</f>
        <v>0</v>
      </c>
      <c r="E130" s="2">
        <f>VLOOKUP(O130,BulletType!A$2:N178,10)</f>
        <v>0</v>
      </c>
      <c r="F130" s="3" t="str">
        <f>CONCATENATE(VLOOKUP(O130,BulletType!A$2:I$35,8),VLOOKUP(P130,BulletColor!A$2:D$16,4))</f>
        <v>Bullet200000</v>
      </c>
      <c r="G130" s="3" t="str">
        <f>VLOOKUP(O130,BulletType!A$1:G$35,7)</f>
        <v>1.6,0.403</v>
      </c>
      <c r="H130" s="2">
        <f t="shared" ref="H130:H193" si="9">INT(Q130)</f>
        <v>0</v>
      </c>
      <c r="I130">
        <f>VLOOKUP(O130,BulletType!A$1:F$35,3)</f>
        <v>1</v>
      </c>
      <c r="J130">
        <f>VLOOKUP(O130,BulletType!A$1:F$35,4)</f>
        <v>0</v>
      </c>
      <c r="K130">
        <f>VLOOKUP(O130,BulletType!A$1:F$35,5)</f>
        <v>4.8</v>
      </c>
      <c r="L130">
        <f>VLOOKUP(O130,BulletType!A$1:F$35,5)</f>
        <v>4.8</v>
      </c>
      <c r="M130">
        <f>VLOOKUP(O130,BulletType!A$1:F$35,6)</f>
        <v>2.4</v>
      </c>
      <c r="N130" s="3" t="str">
        <f>VLOOKUP(P130,BulletColor!A$2:B153,2)</f>
        <v>0.5,0.5,0.5</v>
      </c>
      <c r="O130">
        <v>4</v>
      </c>
      <c r="P130" s="2">
        <v>0</v>
      </c>
      <c r="Q130" s="2">
        <f t="shared" si="8"/>
        <v>0</v>
      </c>
    </row>
    <row r="131" spans="1:17" x14ac:dyDescent="0.2">
      <c r="A131" s="1">
        <f t="shared" ref="A131:A194" si="10">VALUE(CONCATENATE(1,(REPT(0,2-LEN(O131))&amp;O131),REPT(0,2-LEN(P131))&amp;(P131),Q131))</f>
        <v>104001</v>
      </c>
      <c r="B131" s="3" t="str">
        <f>VLOOKUP(O131,BulletType!A$1:F$35,2)&amp;VLOOKUP(P131,BulletColor!A$1:C$25,3)</f>
        <v>米弹灰</v>
      </c>
      <c r="C131" s="3" t="str">
        <f t="shared" ref="C131:C194" si="11">CONCATENATE("Bullet",INT(A131/10)*10)</f>
        <v>Bullet104000</v>
      </c>
      <c r="D131" s="2">
        <f>VLOOKUP(O131,BulletType!A$2:N179,9)</f>
        <v>0</v>
      </c>
      <c r="E131" s="2">
        <f>VLOOKUP(O131,BulletType!A$2:N179,10)</f>
        <v>0</v>
      </c>
      <c r="F131" s="3" t="str">
        <f>CONCATENATE(VLOOKUP(O131,BulletType!A$2:I$35,8),VLOOKUP(P131,BulletColor!A$2:D$16,4))</f>
        <v>Bullet200000</v>
      </c>
      <c r="G131" s="3" t="str">
        <f>VLOOKUP(O131,BulletType!A$1:G$35,7)</f>
        <v>1.6,0.403</v>
      </c>
      <c r="H131" s="2">
        <f t="shared" si="9"/>
        <v>1</v>
      </c>
      <c r="I131">
        <f>VLOOKUP(O131,BulletType!A$1:F$35,3)</f>
        <v>1</v>
      </c>
      <c r="J131">
        <f>VLOOKUP(O131,BulletType!A$1:F$35,4)</f>
        <v>0</v>
      </c>
      <c r="K131">
        <f>VLOOKUP(O131,BulletType!A$1:F$35,5)</f>
        <v>4.8</v>
      </c>
      <c r="L131">
        <f>VLOOKUP(O131,BulletType!A$1:F$35,5)</f>
        <v>4.8</v>
      </c>
      <c r="M131">
        <f>VLOOKUP(O131,BulletType!A$1:F$35,6)</f>
        <v>2.4</v>
      </c>
      <c r="N131" s="3" t="str">
        <f>VLOOKUP(P131,BulletColor!A$2:B154,2)</f>
        <v>0.5,0.5,0.5</v>
      </c>
      <c r="O131">
        <v>4</v>
      </c>
      <c r="P131" s="2">
        <v>0</v>
      </c>
      <c r="Q131" s="2">
        <f t="shared" si="8"/>
        <v>1</v>
      </c>
    </row>
    <row r="132" spans="1:17" x14ac:dyDescent="0.2">
      <c r="A132" s="1">
        <f t="shared" si="10"/>
        <v>104010</v>
      </c>
      <c r="B132" s="3" t="str">
        <f>VLOOKUP(O132,BulletType!A$1:F$35,2)&amp;VLOOKUP(P132,BulletColor!A$1:C$25,3)</f>
        <v>米弹深红</v>
      </c>
      <c r="C132" s="3" t="str">
        <f t="shared" si="11"/>
        <v>Bullet104010</v>
      </c>
      <c r="D132" s="2">
        <f>VLOOKUP(O132,BulletType!A$2:N180,9)</f>
        <v>0</v>
      </c>
      <c r="E132" s="2">
        <f>VLOOKUP(O132,BulletType!A$2:N180,10)</f>
        <v>0</v>
      </c>
      <c r="F132" s="3" t="str">
        <f>CONCATENATE(VLOOKUP(O132,BulletType!A$2:I$35,8),VLOOKUP(P132,BulletColor!A$2:D$16,4))</f>
        <v>Bullet200010</v>
      </c>
      <c r="G132" s="3" t="str">
        <f>VLOOKUP(O132,BulletType!A$1:G$35,7)</f>
        <v>1.6,0.403</v>
      </c>
      <c r="H132" s="2">
        <f t="shared" si="9"/>
        <v>0</v>
      </c>
      <c r="I132">
        <f>VLOOKUP(O132,BulletType!A$1:F$35,3)</f>
        <v>1</v>
      </c>
      <c r="J132">
        <f>VLOOKUP(O132,BulletType!A$1:F$35,4)</f>
        <v>0</v>
      </c>
      <c r="K132">
        <f>VLOOKUP(O132,BulletType!A$1:F$35,5)</f>
        <v>4.8</v>
      </c>
      <c r="L132">
        <f>VLOOKUP(O132,BulletType!A$1:F$35,5)</f>
        <v>4.8</v>
      </c>
      <c r="M132">
        <f>VLOOKUP(O132,BulletType!A$1:F$35,6)</f>
        <v>2.4</v>
      </c>
      <c r="N132" s="3" t="str">
        <f>VLOOKUP(P132,BulletColor!A$2:B155,2)</f>
        <v>0.625,0.3,0.3</v>
      </c>
      <c r="O132">
        <v>4</v>
      </c>
      <c r="P132" s="2">
        <v>1</v>
      </c>
      <c r="Q132" s="2">
        <f t="shared" si="8"/>
        <v>0</v>
      </c>
    </row>
    <row r="133" spans="1:17" x14ac:dyDescent="0.2">
      <c r="A133" s="1">
        <f t="shared" si="10"/>
        <v>104011</v>
      </c>
      <c r="B133" s="3" t="str">
        <f>VLOOKUP(O133,BulletType!A$1:F$35,2)&amp;VLOOKUP(P133,BulletColor!A$1:C$25,3)</f>
        <v>米弹深红</v>
      </c>
      <c r="C133" s="3" t="str">
        <f t="shared" si="11"/>
        <v>Bullet104010</v>
      </c>
      <c r="D133" s="2">
        <f>VLOOKUP(O133,BulletType!A$2:N181,9)</f>
        <v>0</v>
      </c>
      <c r="E133" s="2">
        <f>VLOOKUP(O133,BulletType!A$2:N181,10)</f>
        <v>0</v>
      </c>
      <c r="F133" s="3" t="str">
        <f>CONCATENATE(VLOOKUP(O133,BulletType!A$2:I$35,8),VLOOKUP(P133,BulletColor!A$2:D$16,4))</f>
        <v>Bullet200010</v>
      </c>
      <c r="G133" s="3" t="str">
        <f>VLOOKUP(O133,BulletType!A$1:G$35,7)</f>
        <v>1.6,0.403</v>
      </c>
      <c r="H133" s="2">
        <f t="shared" si="9"/>
        <v>1</v>
      </c>
      <c r="I133">
        <f>VLOOKUP(O133,BulletType!A$1:F$35,3)</f>
        <v>1</v>
      </c>
      <c r="J133">
        <f>VLOOKUP(O133,BulletType!A$1:F$35,4)</f>
        <v>0</v>
      </c>
      <c r="K133">
        <f>VLOOKUP(O133,BulletType!A$1:F$35,5)</f>
        <v>4.8</v>
      </c>
      <c r="L133">
        <f>VLOOKUP(O133,BulletType!A$1:F$35,5)</f>
        <v>4.8</v>
      </c>
      <c r="M133">
        <f>VLOOKUP(O133,BulletType!A$1:F$35,6)</f>
        <v>2.4</v>
      </c>
      <c r="N133" s="3" t="str">
        <f>VLOOKUP(P133,BulletColor!A$2:B156,2)</f>
        <v>0.625,0.3,0.3</v>
      </c>
      <c r="O133">
        <v>4</v>
      </c>
      <c r="P133" s="2">
        <v>1</v>
      </c>
      <c r="Q133" s="2">
        <f t="shared" si="8"/>
        <v>1</v>
      </c>
    </row>
    <row r="134" spans="1:17" x14ac:dyDescent="0.2">
      <c r="A134" s="1">
        <f t="shared" si="10"/>
        <v>104020</v>
      </c>
      <c r="B134" s="3" t="str">
        <f>VLOOKUP(O134,BulletType!A$1:F$35,2)&amp;VLOOKUP(P134,BulletColor!A$1:C$25,3)</f>
        <v>米弹红</v>
      </c>
      <c r="C134" s="3" t="str">
        <f t="shared" si="11"/>
        <v>Bullet104020</v>
      </c>
      <c r="D134" s="2">
        <f>VLOOKUP(O134,BulletType!A$2:N182,9)</f>
        <v>0</v>
      </c>
      <c r="E134" s="2">
        <f>VLOOKUP(O134,BulletType!A$2:N182,10)</f>
        <v>0</v>
      </c>
      <c r="F134" s="3" t="str">
        <f>CONCATENATE(VLOOKUP(O134,BulletType!A$2:I$35,8),VLOOKUP(P134,BulletColor!A$2:D$16,4))</f>
        <v>Bullet200010</v>
      </c>
      <c r="G134" s="3" t="str">
        <f>VLOOKUP(O134,BulletType!A$1:G$35,7)</f>
        <v>1.6,0.403</v>
      </c>
      <c r="H134" s="2">
        <f t="shared" si="9"/>
        <v>0</v>
      </c>
      <c r="I134">
        <f>VLOOKUP(O134,BulletType!A$1:F$35,3)</f>
        <v>1</v>
      </c>
      <c r="J134">
        <f>VLOOKUP(O134,BulletType!A$1:F$35,4)</f>
        <v>0</v>
      </c>
      <c r="K134">
        <f>VLOOKUP(O134,BulletType!A$1:F$35,5)</f>
        <v>4.8</v>
      </c>
      <c r="L134">
        <f>VLOOKUP(O134,BulletType!A$1:F$35,5)</f>
        <v>4.8</v>
      </c>
      <c r="M134">
        <f>VLOOKUP(O134,BulletType!A$1:F$35,6)</f>
        <v>2.4</v>
      </c>
      <c r="N134" s="3" t="str">
        <f>VLOOKUP(P134,BulletColor!A$2:B157,2)</f>
        <v>0.8,0.3,0.3</v>
      </c>
      <c r="O134">
        <v>4</v>
      </c>
      <c r="P134" s="2">
        <v>2</v>
      </c>
      <c r="Q134" s="2">
        <f t="shared" si="8"/>
        <v>0</v>
      </c>
    </row>
    <row r="135" spans="1:17" x14ac:dyDescent="0.2">
      <c r="A135" s="1">
        <f t="shared" si="10"/>
        <v>104021</v>
      </c>
      <c r="B135" s="3" t="str">
        <f>VLOOKUP(O135,BulletType!A$1:F$35,2)&amp;VLOOKUP(P135,BulletColor!A$1:C$25,3)</f>
        <v>米弹红</v>
      </c>
      <c r="C135" s="3" t="str">
        <f t="shared" si="11"/>
        <v>Bullet104020</v>
      </c>
      <c r="D135" s="2">
        <f>VLOOKUP(O135,BulletType!A$2:N183,9)</f>
        <v>0</v>
      </c>
      <c r="E135" s="2">
        <f>VLOOKUP(O135,BulletType!A$2:N183,10)</f>
        <v>0</v>
      </c>
      <c r="F135" s="3" t="str">
        <f>CONCATENATE(VLOOKUP(O135,BulletType!A$2:I$35,8),VLOOKUP(P135,BulletColor!A$2:D$16,4))</f>
        <v>Bullet200010</v>
      </c>
      <c r="G135" s="3" t="str">
        <f>VLOOKUP(O135,BulletType!A$1:G$35,7)</f>
        <v>1.6,0.403</v>
      </c>
      <c r="H135" s="2">
        <f t="shared" si="9"/>
        <v>1</v>
      </c>
      <c r="I135">
        <f>VLOOKUP(O135,BulletType!A$1:F$35,3)</f>
        <v>1</v>
      </c>
      <c r="J135">
        <f>VLOOKUP(O135,BulletType!A$1:F$35,4)</f>
        <v>0</v>
      </c>
      <c r="K135">
        <f>VLOOKUP(O135,BulletType!A$1:F$35,5)</f>
        <v>4.8</v>
      </c>
      <c r="L135">
        <f>VLOOKUP(O135,BulletType!A$1:F$35,5)</f>
        <v>4.8</v>
      </c>
      <c r="M135">
        <f>VLOOKUP(O135,BulletType!A$1:F$35,6)</f>
        <v>2.4</v>
      </c>
      <c r="N135" s="3" t="str">
        <f>VLOOKUP(P135,BulletColor!A$2:B158,2)</f>
        <v>0.8,0.3,0.3</v>
      </c>
      <c r="O135">
        <v>4</v>
      </c>
      <c r="P135" s="2">
        <v>2</v>
      </c>
      <c r="Q135" s="2">
        <f t="shared" si="8"/>
        <v>1</v>
      </c>
    </row>
    <row r="136" spans="1:17" x14ac:dyDescent="0.2">
      <c r="A136" s="1">
        <f t="shared" si="10"/>
        <v>104030</v>
      </c>
      <c r="B136" s="3" t="str">
        <f>VLOOKUP(O136,BulletType!A$1:F$35,2)&amp;VLOOKUP(P136,BulletColor!A$1:C$25,3)</f>
        <v>米弹深紫</v>
      </c>
      <c r="C136" s="3" t="str">
        <f t="shared" si="11"/>
        <v>Bullet104030</v>
      </c>
      <c r="D136" s="2">
        <f>VLOOKUP(O136,BulletType!A$2:N184,9)</f>
        <v>0</v>
      </c>
      <c r="E136" s="2">
        <f>VLOOKUP(O136,BulletType!A$2:N184,10)</f>
        <v>0</v>
      </c>
      <c r="F136" s="3" t="str">
        <f>CONCATENATE(VLOOKUP(O136,BulletType!A$2:I$35,8),VLOOKUP(P136,BulletColor!A$2:D$16,4))</f>
        <v>Bullet200030</v>
      </c>
      <c r="G136" s="3" t="str">
        <f>VLOOKUP(O136,BulletType!A$1:G$35,7)</f>
        <v>1.6,0.403</v>
      </c>
      <c r="H136" s="2">
        <f t="shared" si="9"/>
        <v>0</v>
      </c>
      <c r="I136">
        <f>VLOOKUP(O136,BulletType!A$1:F$35,3)</f>
        <v>1</v>
      </c>
      <c r="J136">
        <f>VLOOKUP(O136,BulletType!A$1:F$35,4)</f>
        <v>0</v>
      </c>
      <c r="K136">
        <f>VLOOKUP(O136,BulletType!A$1:F$35,5)</f>
        <v>4.8</v>
      </c>
      <c r="L136">
        <f>VLOOKUP(O136,BulletType!A$1:F$35,5)</f>
        <v>4.8</v>
      </c>
      <c r="M136">
        <f>VLOOKUP(O136,BulletType!A$1:F$35,6)</f>
        <v>2.4</v>
      </c>
      <c r="N136" s="3" t="str">
        <f>VLOOKUP(P136,BulletColor!A$2:B159,2)</f>
        <v>1,0.65,1</v>
      </c>
      <c r="O136">
        <v>4</v>
      </c>
      <c r="P136" s="2">
        <v>3</v>
      </c>
      <c r="Q136" s="2">
        <f t="shared" si="8"/>
        <v>0</v>
      </c>
    </row>
    <row r="137" spans="1:17" x14ac:dyDescent="0.2">
      <c r="A137" s="1">
        <f t="shared" si="10"/>
        <v>104031</v>
      </c>
      <c r="B137" s="3" t="str">
        <f>VLOOKUP(O137,BulletType!A$1:F$35,2)&amp;VLOOKUP(P137,BulletColor!A$1:C$25,3)</f>
        <v>米弹深紫</v>
      </c>
      <c r="C137" s="3" t="str">
        <f t="shared" si="11"/>
        <v>Bullet104030</v>
      </c>
      <c r="D137" s="2">
        <f>VLOOKUP(O137,BulletType!A$2:N185,9)</f>
        <v>0</v>
      </c>
      <c r="E137" s="2">
        <f>VLOOKUP(O137,BulletType!A$2:N185,10)</f>
        <v>0</v>
      </c>
      <c r="F137" s="3" t="str">
        <f>CONCATENATE(VLOOKUP(O137,BulletType!A$2:I$35,8),VLOOKUP(P137,BulletColor!A$2:D$16,4))</f>
        <v>Bullet200030</v>
      </c>
      <c r="G137" s="3" t="str">
        <f>VLOOKUP(O137,BulletType!A$1:G$35,7)</f>
        <v>1.6,0.403</v>
      </c>
      <c r="H137" s="2">
        <f t="shared" si="9"/>
        <v>1</v>
      </c>
      <c r="I137">
        <f>VLOOKUP(O137,BulletType!A$1:F$35,3)</f>
        <v>1</v>
      </c>
      <c r="J137">
        <f>VLOOKUP(O137,BulletType!A$1:F$35,4)</f>
        <v>0</v>
      </c>
      <c r="K137">
        <f>VLOOKUP(O137,BulletType!A$1:F$35,5)</f>
        <v>4.8</v>
      </c>
      <c r="L137">
        <f>VLOOKUP(O137,BulletType!A$1:F$35,5)</f>
        <v>4.8</v>
      </c>
      <c r="M137">
        <f>VLOOKUP(O137,BulletType!A$1:F$35,6)</f>
        <v>2.4</v>
      </c>
      <c r="N137" s="3" t="str">
        <f>VLOOKUP(P137,BulletColor!A$2:B160,2)</f>
        <v>1,0.65,1</v>
      </c>
      <c r="O137">
        <v>4</v>
      </c>
      <c r="P137" s="2">
        <v>3</v>
      </c>
      <c r="Q137" s="2">
        <f t="shared" ref="Q137:Q200" si="12">MOD((ROW()-2),2)</f>
        <v>1</v>
      </c>
    </row>
    <row r="138" spans="1:17" x14ac:dyDescent="0.2">
      <c r="A138" s="1">
        <f t="shared" si="10"/>
        <v>104040</v>
      </c>
      <c r="B138" s="3" t="str">
        <f>VLOOKUP(O138,BulletType!A$1:F$35,2)&amp;VLOOKUP(P138,BulletColor!A$1:C$25,3)</f>
        <v>米弹紫</v>
      </c>
      <c r="C138" s="3" t="str">
        <f t="shared" si="11"/>
        <v>Bullet104040</v>
      </c>
      <c r="D138" s="2">
        <f>VLOOKUP(O138,BulletType!A$2:N186,9)</f>
        <v>0</v>
      </c>
      <c r="E138" s="2">
        <f>VLOOKUP(O138,BulletType!A$2:N186,10)</f>
        <v>0</v>
      </c>
      <c r="F138" s="3" t="str">
        <f>CONCATENATE(VLOOKUP(O138,BulletType!A$2:I$35,8),VLOOKUP(P138,BulletColor!A$2:D$16,4))</f>
        <v>Bullet200030</v>
      </c>
      <c r="G138" s="3" t="str">
        <f>VLOOKUP(O138,BulletType!A$1:G$35,7)</f>
        <v>1.6,0.403</v>
      </c>
      <c r="H138" s="2">
        <f t="shared" si="9"/>
        <v>0</v>
      </c>
      <c r="I138">
        <f>VLOOKUP(O138,BulletType!A$1:F$35,3)</f>
        <v>1</v>
      </c>
      <c r="J138">
        <f>VLOOKUP(O138,BulletType!A$1:F$35,4)</f>
        <v>0</v>
      </c>
      <c r="K138">
        <f>VLOOKUP(O138,BulletType!A$1:F$35,5)</f>
        <v>4.8</v>
      </c>
      <c r="L138">
        <f>VLOOKUP(O138,BulletType!A$1:F$35,5)</f>
        <v>4.8</v>
      </c>
      <c r="M138">
        <f>VLOOKUP(O138,BulletType!A$1:F$35,6)</f>
        <v>2.4</v>
      </c>
      <c r="N138" s="3" t="str">
        <f>VLOOKUP(P138,BulletColor!A$2:B161,2)</f>
        <v>1,0.65,1</v>
      </c>
      <c r="O138">
        <v>4</v>
      </c>
      <c r="P138" s="2">
        <v>4</v>
      </c>
      <c r="Q138" s="2">
        <f t="shared" si="12"/>
        <v>0</v>
      </c>
    </row>
    <row r="139" spans="1:17" x14ac:dyDescent="0.2">
      <c r="A139" s="1">
        <f t="shared" si="10"/>
        <v>104041</v>
      </c>
      <c r="B139" s="3" t="str">
        <f>VLOOKUP(O139,BulletType!A$1:F$35,2)&amp;VLOOKUP(P139,BulletColor!A$1:C$25,3)</f>
        <v>米弹紫</v>
      </c>
      <c r="C139" s="3" t="str">
        <f t="shared" si="11"/>
        <v>Bullet104040</v>
      </c>
      <c r="D139" s="2">
        <f>VLOOKUP(O139,BulletType!A$2:N187,9)</f>
        <v>0</v>
      </c>
      <c r="E139" s="2">
        <f>VLOOKUP(O139,BulletType!A$2:N187,10)</f>
        <v>0</v>
      </c>
      <c r="F139" s="3" t="str">
        <f>CONCATENATE(VLOOKUP(O139,BulletType!A$2:I$35,8),VLOOKUP(P139,BulletColor!A$2:D$16,4))</f>
        <v>Bullet200030</v>
      </c>
      <c r="G139" s="3" t="str">
        <f>VLOOKUP(O139,BulletType!A$1:G$35,7)</f>
        <v>1.6,0.403</v>
      </c>
      <c r="H139" s="2">
        <f t="shared" si="9"/>
        <v>1</v>
      </c>
      <c r="I139">
        <f>VLOOKUP(O139,BulletType!A$1:F$35,3)</f>
        <v>1</v>
      </c>
      <c r="J139">
        <f>VLOOKUP(O139,BulletType!A$1:F$35,4)</f>
        <v>0</v>
      </c>
      <c r="K139">
        <f>VLOOKUP(O139,BulletType!A$1:F$35,5)</f>
        <v>4.8</v>
      </c>
      <c r="L139">
        <f>VLOOKUP(O139,BulletType!A$1:F$35,5)</f>
        <v>4.8</v>
      </c>
      <c r="M139">
        <f>VLOOKUP(O139,BulletType!A$1:F$35,6)</f>
        <v>2.4</v>
      </c>
      <c r="N139" s="3" t="str">
        <f>VLOOKUP(P139,BulletColor!A$2:B162,2)</f>
        <v>1,0.65,1</v>
      </c>
      <c r="O139">
        <v>4</v>
      </c>
      <c r="P139" s="2">
        <v>4</v>
      </c>
      <c r="Q139" s="2">
        <f t="shared" si="12"/>
        <v>1</v>
      </c>
    </row>
    <row r="140" spans="1:17" x14ac:dyDescent="0.2">
      <c r="A140" s="1">
        <f t="shared" si="10"/>
        <v>104050</v>
      </c>
      <c r="B140" s="3" t="str">
        <f>VLOOKUP(O140,BulletType!A$1:F$35,2)&amp;VLOOKUP(P140,BulletColor!A$1:C$25,3)</f>
        <v>米弹深蓝</v>
      </c>
      <c r="C140" s="3" t="str">
        <f t="shared" si="11"/>
        <v>Bullet104050</v>
      </c>
      <c r="D140" s="2">
        <f>VLOOKUP(O140,BulletType!A$2:N188,9)</f>
        <v>0</v>
      </c>
      <c r="E140" s="2">
        <f>VLOOKUP(O140,BulletType!A$2:N188,10)</f>
        <v>0</v>
      </c>
      <c r="F140" s="3" t="str">
        <f>CONCATENATE(VLOOKUP(O140,BulletType!A$2:I$35,8),VLOOKUP(P140,BulletColor!A$2:D$16,4))</f>
        <v>Bullet200050</v>
      </c>
      <c r="G140" s="3" t="str">
        <f>VLOOKUP(O140,BulletType!A$1:G$35,7)</f>
        <v>1.6,0.403</v>
      </c>
      <c r="H140" s="2">
        <f t="shared" si="9"/>
        <v>0</v>
      </c>
      <c r="I140">
        <f>VLOOKUP(O140,BulletType!A$1:F$35,3)</f>
        <v>1</v>
      </c>
      <c r="J140">
        <f>VLOOKUP(O140,BulletType!A$1:F$35,4)</f>
        <v>0</v>
      </c>
      <c r="K140">
        <f>VLOOKUP(O140,BulletType!A$1:F$35,5)</f>
        <v>4.8</v>
      </c>
      <c r="L140">
        <f>VLOOKUP(O140,BulletType!A$1:F$35,5)</f>
        <v>4.8</v>
      </c>
      <c r="M140">
        <f>VLOOKUP(O140,BulletType!A$1:F$35,6)</f>
        <v>2.4</v>
      </c>
      <c r="N140" s="3" t="str">
        <f>VLOOKUP(P140,BulletColor!A$2:B163,2)</f>
        <v>0,0.1,1</v>
      </c>
      <c r="O140">
        <v>4</v>
      </c>
      <c r="P140" s="2">
        <v>5</v>
      </c>
      <c r="Q140" s="2">
        <f t="shared" si="12"/>
        <v>0</v>
      </c>
    </row>
    <row r="141" spans="1:17" x14ac:dyDescent="0.2">
      <c r="A141" s="1">
        <f t="shared" si="10"/>
        <v>104051</v>
      </c>
      <c r="B141" s="3" t="str">
        <f>VLOOKUP(O141,BulletType!A$1:F$35,2)&amp;VLOOKUP(P141,BulletColor!A$1:C$25,3)</f>
        <v>米弹深蓝</v>
      </c>
      <c r="C141" s="3" t="str">
        <f t="shared" si="11"/>
        <v>Bullet104050</v>
      </c>
      <c r="D141" s="2">
        <f>VLOOKUP(O141,BulletType!A$2:N189,9)</f>
        <v>0</v>
      </c>
      <c r="E141" s="2">
        <f>VLOOKUP(O141,BulletType!A$2:N189,10)</f>
        <v>0</v>
      </c>
      <c r="F141" s="3" t="str">
        <f>CONCATENATE(VLOOKUP(O141,BulletType!A$2:I$35,8),VLOOKUP(P141,BulletColor!A$2:D$16,4))</f>
        <v>Bullet200050</v>
      </c>
      <c r="G141" s="3" t="str">
        <f>VLOOKUP(O141,BulletType!A$1:G$35,7)</f>
        <v>1.6,0.403</v>
      </c>
      <c r="H141" s="2">
        <f t="shared" si="9"/>
        <v>1</v>
      </c>
      <c r="I141">
        <f>VLOOKUP(O141,BulletType!A$1:F$35,3)</f>
        <v>1</v>
      </c>
      <c r="J141">
        <f>VLOOKUP(O141,BulletType!A$1:F$35,4)</f>
        <v>0</v>
      </c>
      <c r="K141">
        <f>VLOOKUP(O141,BulletType!A$1:F$35,5)</f>
        <v>4.8</v>
      </c>
      <c r="L141">
        <f>VLOOKUP(O141,BulletType!A$1:F$35,5)</f>
        <v>4.8</v>
      </c>
      <c r="M141">
        <f>VLOOKUP(O141,BulletType!A$1:F$35,6)</f>
        <v>2.4</v>
      </c>
      <c r="N141" s="3" t="str">
        <f>VLOOKUP(P141,BulletColor!A$2:B164,2)</f>
        <v>0,0.1,1</v>
      </c>
      <c r="O141">
        <v>4</v>
      </c>
      <c r="P141" s="2">
        <v>5</v>
      </c>
      <c r="Q141" s="2">
        <f t="shared" si="12"/>
        <v>1</v>
      </c>
    </row>
    <row r="142" spans="1:17" x14ac:dyDescent="0.2">
      <c r="A142" s="1">
        <f t="shared" si="10"/>
        <v>104060</v>
      </c>
      <c r="B142" s="3" t="str">
        <f>VLOOKUP(O142,BulletType!A$1:F$35,2)&amp;VLOOKUP(P142,BulletColor!A$1:C$25,3)</f>
        <v>米弹蓝</v>
      </c>
      <c r="C142" s="3" t="str">
        <f t="shared" si="11"/>
        <v>Bullet104060</v>
      </c>
      <c r="D142" s="2">
        <f>VLOOKUP(O142,BulletType!A$2:N190,9)</f>
        <v>0</v>
      </c>
      <c r="E142" s="2">
        <f>VLOOKUP(O142,BulletType!A$2:N190,10)</f>
        <v>0</v>
      </c>
      <c r="F142" s="3" t="str">
        <f>CONCATENATE(VLOOKUP(O142,BulletType!A$2:I$35,8),VLOOKUP(P142,BulletColor!A$2:D$16,4))</f>
        <v>Bullet200050</v>
      </c>
      <c r="G142" s="3" t="str">
        <f>VLOOKUP(O142,BulletType!A$1:G$35,7)</f>
        <v>1.6,0.403</v>
      </c>
      <c r="H142" s="2">
        <f t="shared" si="9"/>
        <v>0</v>
      </c>
      <c r="I142">
        <f>VLOOKUP(O142,BulletType!A$1:F$35,3)</f>
        <v>1</v>
      </c>
      <c r="J142">
        <f>VLOOKUP(O142,BulletType!A$1:F$35,4)</f>
        <v>0</v>
      </c>
      <c r="K142">
        <f>VLOOKUP(O142,BulletType!A$1:F$35,5)</f>
        <v>4.8</v>
      </c>
      <c r="L142">
        <f>VLOOKUP(O142,BulletType!A$1:F$35,5)</f>
        <v>4.8</v>
      </c>
      <c r="M142">
        <f>VLOOKUP(O142,BulletType!A$1:F$35,6)</f>
        <v>2.4</v>
      </c>
      <c r="N142" s="3" t="str">
        <f>VLOOKUP(P142,BulletColor!A$2:B165,2)</f>
        <v>0,0.1,1</v>
      </c>
      <c r="O142">
        <v>4</v>
      </c>
      <c r="P142" s="2">
        <v>6</v>
      </c>
      <c r="Q142" s="2">
        <f t="shared" si="12"/>
        <v>0</v>
      </c>
    </row>
    <row r="143" spans="1:17" x14ac:dyDescent="0.2">
      <c r="A143" s="1">
        <f t="shared" si="10"/>
        <v>104061</v>
      </c>
      <c r="B143" s="3" t="str">
        <f>VLOOKUP(O143,BulletType!A$1:F$35,2)&amp;VLOOKUP(P143,BulletColor!A$1:C$25,3)</f>
        <v>米弹蓝</v>
      </c>
      <c r="C143" s="3" t="str">
        <f t="shared" si="11"/>
        <v>Bullet104060</v>
      </c>
      <c r="D143" s="2">
        <f>VLOOKUP(O143,BulletType!A$2:N191,9)</f>
        <v>0</v>
      </c>
      <c r="E143" s="2">
        <f>VLOOKUP(O143,BulletType!A$2:N191,10)</f>
        <v>0</v>
      </c>
      <c r="F143" s="3" t="str">
        <f>CONCATENATE(VLOOKUP(O143,BulletType!A$2:I$35,8),VLOOKUP(P143,BulletColor!A$2:D$16,4))</f>
        <v>Bullet200050</v>
      </c>
      <c r="G143" s="3" t="str">
        <f>VLOOKUP(O143,BulletType!A$1:G$35,7)</f>
        <v>1.6,0.403</v>
      </c>
      <c r="H143" s="2">
        <f t="shared" si="9"/>
        <v>1</v>
      </c>
      <c r="I143">
        <f>VLOOKUP(O143,BulletType!A$1:F$35,3)</f>
        <v>1</v>
      </c>
      <c r="J143">
        <f>VLOOKUP(O143,BulletType!A$1:F$35,4)</f>
        <v>0</v>
      </c>
      <c r="K143">
        <f>VLOOKUP(O143,BulletType!A$1:F$35,5)</f>
        <v>4.8</v>
      </c>
      <c r="L143">
        <f>VLOOKUP(O143,BulletType!A$1:F$35,5)</f>
        <v>4.8</v>
      </c>
      <c r="M143">
        <f>VLOOKUP(O143,BulletType!A$1:F$35,6)</f>
        <v>2.4</v>
      </c>
      <c r="N143" s="3" t="str">
        <f>VLOOKUP(P143,BulletColor!A$2:B166,2)</f>
        <v>0,0.1,1</v>
      </c>
      <c r="O143">
        <v>4</v>
      </c>
      <c r="P143" s="2">
        <v>6</v>
      </c>
      <c r="Q143" s="2">
        <f t="shared" si="12"/>
        <v>1</v>
      </c>
    </row>
    <row r="144" spans="1:17" x14ac:dyDescent="0.2">
      <c r="A144" s="1">
        <f t="shared" si="10"/>
        <v>104070</v>
      </c>
      <c r="B144" s="3" t="str">
        <f>VLOOKUP(O144,BulletType!A$1:F$35,2)&amp;VLOOKUP(P144,BulletColor!A$1:C$25,3)</f>
        <v>米弹深青</v>
      </c>
      <c r="C144" s="3" t="str">
        <f t="shared" si="11"/>
        <v>Bullet104070</v>
      </c>
      <c r="D144" s="2">
        <f>VLOOKUP(O144,BulletType!A$2:N192,9)</f>
        <v>0</v>
      </c>
      <c r="E144" s="2">
        <f>VLOOKUP(O144,BulletType!A$2:N192,10)</f>
        <v>0</v>
      </c>
      <c r="F144" s="3" t="str">
        <f>CONCATENATE(VLOOKUP(O144,BulletType!A$2:I$35,8),VLOOKUP(P144,BulletColor!A$2:D$16,4))</f>
        <v>Bullet200070</v>
      </c>
      <c r="G144" s="3" t="str">
        <f>VLOOKUP(O144,BulletType!A$1:G$35,7)</f>
        <v>1.6,0.403</v>
      </c>
      <c r="H144" s="2">
        <f t="shared" si="9"/>
        <v>0</v>
      </c>
      <c r="I144">
        <f>VLOOKUP(O144,BulletType!A$1:F$35,3)</f>
        <v>1</v>
      </c>
      <c r="J144">
        <f>VLOOKUP(O144,BulletType!A$1:F$35,4)</f>
        <v>0</v>
      </c>
      <c r="K144">
        <f>VLOOKUP(O144,BulletType!A$1:F$35,5)</f>
        <v>4.8</v>
      </c>
      <c r="L144">
        <f>VLOOKUP(O144,BulletType!A$1:F$35,5)</f>
        <v>4.8</v>
      </c>
      <c r="M144">
        <f>VLOOKUP(O144,BulletType!A$1:F$35,6)</f>
        <v>2.4</v>
      </c>
      <c r="N144" s="3" t="str">
        <f>VLOOKUP(P144,BulletColor!A$2:B167,2)</f>
        <v>0.25,1,1</v>
      </c>
      <c r="O144">
        <v>4</v>
      </c>
      <c r="P144" s="2">
        <v>7</v>
      </c>
      <c r="Q144" s="2">
        <f t="shared" si="12"/>
        <v>0</v>
      </c>
    </row>
    <row r="145" spans="1:17" x14ac:dyDescent="0.2">
      <c r="A145" s="1">
        <f t="shared" si="10"/>
        <v>104071</v>
      </c>
      <c r="B145" s="3" t="str">
        <f>VLOOKUP(O145,BulletType!A$1:F$35,2)&amp;VLOOKUP(P145,BulletColor!A$1:C$25,3)</f>
        <v>米弹深青</v>
      </c>
      <c r="C145" s="3" t="str">
        <f t="shared" si="11"/>
        <v>Bullet104070</v>
      </c>
      <c r="D145" s="2">
        <f>VLOOKUP(O145,BulletType!A$2:N193,9)</f>
        <v>0</v>
      </c>
      <c r="E145" s="2">
        <f>VLOOKUP(O145,BulletType!A$2:N193,10)</f>
        <v>0</v>
      </c>
      <c r="F145" s="3" t="str">
        <f>CONCATENATE(VLOOKUP(O145,BulletType!A$2:I$35,8),VLOOKUP(P145,BulletColor!A$2:D$16,4))</f>
        <v>Bullet200070</v>
      </c>
      <c r="G145" s="3" t="str">
        <f>VLOOKUP(O145,BulletType!A$1:G$35,7)</f>
        <v>1.6,0.403</v>
      </c>
      <c r="H145" s="2">
        <f t="shared" si="9"/>
        <v>1</v>
      </c>
      <c r="I145">
        <f>VLOOKUP(O145,BulletType!A$1:F$35,3)</f>
        <v>1</v>
      </c>
      <c r="J145">
        <f>VLOOKUP(O145,BulletType!A$1:F$35,4)</f>
        <v>0</v>
      </c>
      <c r="K145">
        <f>VLOOKUP(O145,BulletType!A$1:F$35,5)</f>
        <v>4.8</v>
      </c>
      <c r="L145">
        <f>VLOOKUP(O145,BulletType!A$1:F$35,5)</f>
        <v>4.8</v>
      </c>
      <c r="M145">
        <f>VLOOKUP(O145,BulletType!A$1:F$35,6)</f>
        <v>2.4</v>
      </c>
      <c r="N145" s="3" t="str">
        <f>VLOOKUP(P145,BulletColor!A$2:B168,2)</f>
        <v>0.25,1,1</v>
      </c>
      <c r="O145">
        <v>4</v>
      </c>
      <c r="P145" s="2">
        <v>7</v>
      </c>
      <c r="Q145" s="2">
        <f t="shared" si="12"/>
        <v>1</v>
      </c>
    </row>
    <row r="146" spans="1:17" x14ac:dyDescent="0.2">
      <c r="A146" s="1">
        <f t="shared" si="10"/>
        <v>104080</v>
      </c>
      <c r="B146" s="3" t="str">
        <f>VLOOKUP(O146,BulletType!A$1:F$35,2)&amp;VLOOKUP(P146,BulletColor!A$1:C$25,3)</f>
        <v>米弹青</v>
      </c>
      <c r="C146" s="3" t="str">
        <f t="shared" si="11"/>
        <v>Bullet104080</v>
      </c>
      <c r="D146" s="2">
        <f>VLOOKUP(O146,BulletType!A$2:N194,9)</f>
        <v>0</v>
      </c>
      <c r="E146" s="2">
        <f>VLOOKUP(O146,BulletType!A$2:N194,10)</f>
        <v>0</v>
      </c>
      <c r="F146" s="3" t="str">
        <f>CONCATENATE(VLOOKUP(O146,BulletType!A$2:I$35,8),VLOOKUP(P146,BulletColor!A$2:D$16,4))</f>
        <v>Bullet200070</v>
      </c>
      <c r="G146" s="3" t="str">
        <f>VLOOKUP(O146,BulletType!A$1:G$35,7)</f>
        <v>1.6,0.403</v>
      </c>
      <c r="H146" s="2">
        <f t="shared" si="9"/>
        <v>0</v>
      </c>
      <c r="I146">
        <f>VLOOKUP(O146,BulletType!A$1:F$35,3)</f>
        <v>1</v>
      </c>
      <c r="J146">
        <f>VLOOKUP(O146,BulletType!A$1:F$35,4)</f>
        <v>0</v>
      </c>
      <c r="K146">
        <f>VLOOKUP(O146,BulletType!A$1:F$35,5)</f>
        <v>4.8</v>
      </c>
      <c r="L146">
        <f>VLOOKUP(O146,BulletType!A$1:F$35,5)</f>
        <v>4.8</v>
      </c>
      <c r="M146">
        <f>VLOOKUP(O146,BulletType!A$1:F$35,6)</f>
        <v>2.4</v>
      </c>
      <c r="N146" s="3" t="str">
        <f>VLOOKUP(P146,BulletColor!A$2:B169,2)</f>
        <v>0.25,1,1</v>
      </c>
      <c r="O146">
        <v>4</v>
      </c>
      <c r="P146" s="2">
        <v>8</v>
      </c>
      <c r="Q146" s="2">
        <f t="shared" si="12"/>
        <v>0</v>
      </c>
    </row>
    <row r="147" spans="1:17" x14ac:dyDescent="0.2">
      <c r="A147" s="1">
        <f t="shared" si="10"/>
        <v>104081</v>
      </c>
      <c r="B147" s="3" t="str">
        <f>VLOOKUP(O147,BulletType!A$1:F$35,2)&amp;VLOOKUP(P147,BulletColor!A$1:C$25,3)</f>
        <v>米弹青</v>
      </c>
      <c r="C147" s="3" t="str">
        <f t="shared" si="11"/>
        <v>Bullet104080</v>
      </c>
      <c r="D147" s="2">
        <f>VLOOKUP(O147,BulletType!A$2:N195,9)</f>
        <v>0</v>
      </c>
      <c r="E147" s="2">
        <f>VLOOKUP(O147,BulletType!A$2:N195,10)</f>
        <v>0</v>
      </c>
      <c r="F147" s="3" t="str">
        <f>CONCATENATE(VLOOKUP(O147,BulletType!A$2:I$35,8),VLOOKUP(P147,BulletColor!A$2:D$16,4))</f>
        <v>Bullet200070</v>
      </c>
      <c r="G147" s="3" t="str">
        <f>VLOOKUP(O147,BulletType!A$1:G$35,7)</f>
        <v>1.6,0.403</v>
      </c>
      <c r="H147" s="2">
        <f t="shared" si="9"/>
        <v>1</v>
      </c>
      <c r="I147">
        <f>VLOOKUP(O147,BulletType!A$1:F$35,3)</f>
        <v>1</v>
      </c>
      <c r="J147">
        <f>VLOOKUP(O147,BulletType!A$1:F$35,4)</f>
        <v>0</v>
      </c>
      <c r="K147">
        <f>VLOOKUP(O147,BulletType!A$1:F$35,5)</f>
        <v>4.8</v>
      </c>
      <c r="L147">
        <f>VLOOKUP(O147,BulletType!A$1:F$35,5)</f>
        <v>4.8</v>
      </c>
      <c r="M147">
        <f>VLOOKUP(O147,BulletType!A$1:F$35,6)</f>
        <v>2.4</v>
      </c>
      <c r="N147" s="3" t="str">
        <f>VLOOKUP(P147,BulletColor!A$2:B170,2)</f>
        <v>0.25,1,1</v>
      </c>
      <c r="O147">
        <v>4</v>
      </c>
      <c r="P147" s="2">
        <v>8</v>
      </c>
      <c r="Q147" s="2">
        <f t="shared" si="12"/>
        <v>1</v>
      </c>
    </row>
    <row r="148" spans="1:17" x14ac:dyDescent="0.2">
      <c r="A148" s="1">
        <f t="shared" si="10"/>
        <v>104090</v>
      </c>
      <c r="B148" s="3" t="str">
        <f>VLOOKUP(O148,BulletType!A$1:F$35,2)&amp;VLOOKUP(P148,BulletColor!A$1:C$25,3)</f>
        <v>米弹深绿</v>
      </c>
      <c r="C148" s="3" t="str">
        <f t="shared" si="11"/>
        <v>Bullet104090</v>
      </c>
      <c r="D148" s="2">
        <f>VLOOKUP(O148,BulletType!A$2:N196,9)</f>
        <v>0</v>
      </c>
      <c r="E148" s="2">
        <f>VLOOKUP(O148,BulletType!A$2:N196,10)</f>
        <v>0</v>
      </c>
      <c r="F148" s="3" t="str">
        <f>CONCATENATE(VLOOKUP(O148,BulletType!A$2:I$35,8),VLOOKUP(P148,BulletColor!A$2:D$16,4))</f>
        <v>Bullet200090</v>
      </c>
      <c r="G148" s="3" t="str">
        <f>VLOOKUP(O148,BulletType!A$1:G$35,7)</f>
        <v>1.6,0.403</v>
      </c>
      <c r="H148" s="2">
        <f t="shared" si="9"/>
        <v>0</v>
      </c>
      <c r="I148">
        <f>VLOOKUP(O148,BulletType!A$1:F$35,3)</f>
        <v>1</v>
      </c>
      <c r="J148">
        <f>VLOOKUP(O148,BulletType!A$1:F$35,4)</f>
        <v>0</v>
      </c>
      <c r="K148">
        <f>VLOOKUP(O148,BulletType!A$1:F$35,5)</f>
        <v>4.8</v>
      </c>
      <c r="L148">
        <f>VLOOKUP(O148,BulletType!A$1:F$35,5)</f>
        <v>4.8</v>
      </c>
      <c r="M148">
        <f>VLOOKUP(O148,BulletType!A$1:F$35,6)</f>
        <v>2.4</v>
      </c>
      <c r="N148" s="3" t="str">
        <f>VLOOKUP(P148,BulletColor!A$2:B171,2)</f>
        <v>0.36,0.78,1</v>
      </c>
      <c r="O148">
        <v>4</v>
      </c>
      <c r="P148" s="2">
        <v>9</v>
      </c>
      <c r="Q148" s="2">
        <f t="shared" si="12"/>
        <v>0</v>
      </c>
    </row>
    <row r="149" spans="1:17" x14ac:dyDescent="0.2">
      <c r="A149" s="1">
        <f t="shared" si="10"/>
        <v>104091</v>
      </c>
      <c r="B149" s="3" t="str">
        <f>VLOOKUP(O149,BulletType!A$1:F$35,2)&amp;VLOOKUP(P149,BulletColor!A$1:C$25,3)</f>
        <v>米弹深绿</v>
      </c>
      <c r="C149" s="3" t="str">
        <f t="shared" si="11"/>
        <v>Bullet104090</v>
      </c>
      <c r="D149" s="2">
        <f>VLOOKUP(O149,BulletType!A$2:N197,9)</f>
        <v>0</v>
      </c>
      <c r="E149" s="2">
        <f>VLOOKUP(O149,BulletType!A$2:N197,10)</f>
        <v>0</v>
      </c>
      <c r="F149" s="3" t="str">
        <f>CONCATENATE(VLOOKUP(O149,BulletType!A$2:I$35,8),VLOOKUP(P149,BulletColor!A$2:D$16,4))</f>
        <v>Bullet200090</v>
      </c>
      <c r="G149" s="3" t="str">
        <f>VLOOKUP(O149,BulletType!A$1:G$35,7)</f>
        <v>1.6,0.403</v>
      </c>
      <c r="H149" s="2">
        <f t="shared" si="9"/>
        <v>1</v>
      </c>
      <c r="I149">
        <f>VLOOKUP(O149,BulletType!A$1:F$35,3)</f>
        <v>1</v>
      </c>
      <c r="J149">
        <f>VLOOKUP(O149,BulletType!A$1:F$35,4)</f>
        <v>0</v>
      </c>
      <c r="K149">
        <f>VLOOKUP(O149,BulletType!A$1:F$35,5)</f>
        <v>4.8</v>
      </c>
      <c r="L149">
        <f>VLOOKUP(O149,BulletType!A$1:F$35,5)</f>
        <v>4.8</v>
      </c>
      <c r="M149">
        <f>VLOOKUP(O149,BulletType!A$1:F$35,6)</f>
        <v>2.4</v>
      </c>
      <c r="N149" s="3" t="str">
        <f>VLOOKUP(P149,BulletColor!A$2:B172,2)</f>
        <v>0.36,0.78,1</v>
      </c>
      <c r="O149">
        <v>4</v>
      </c>
      <c r="P149" s="2">
        <v>9</v>
      </c>
      <c r="Q149" s="2">
        <f t="shared" si="12"/>
        <v>1</v>
      </c>
    </row>
    <row r="150" spans="1:17" x14ac:dyDescent="0.2">
      <c r="A150" s="1">
        <f t="shared" si="10"/>
        <v>104100</v>
      </c>
      <c r="B150" s="3" t="str">
        <f>VLOOKUP(O150,BulletType!A$1:F$35,2)&amp;VLOOKUP(P150,BulletColor!A$1:C$25,3)</f>
        <v>米弹绿</v>
      </c>
      <c r="C150" s="3" t="str">
        <f t="shared" si="11"/>
        <v>Bullet104100</v>
      </c>
      <c r="D150" s="2">
        <f>VLOOKUP(O150,BulletType!A$2:N198,9)</f>
        <v>0</v>
      </c>
      <c r="E150" s="2">
        <f>VLOOKUP(O150,BulletType!A$2:N198,10)</f>
        <v>0</v>
      </c>
      <c r="F150" s="3" t="str">
        <f>CONCATENATE(VLOOKUP(O150,BulletType!A$2:I$35,8),VLOOKUP(P150,BulletColor!A$2:D$16,4))</f>
        <v>Bullet200090</v>
      </c>
      <c r="G150" s="3" t="str">
        <f>VLOOKUP(O150,BulletType!A$1:G$35,7)</f>
        <v>1.6,0.403</v>
      </c>
      <c r="H150" s="2">
        <f t="shared" si="9"/>
        <v>0</v>
      </c>
      <c r="I150">
        <f>VLOOKUP(O150,BulletType!A$1:F$35,3)</f>
        <v>1</v>
      </c>
      <c r="J150">
        <f>VLOOKUP(O150,BulletType!A$1:F$35,4)</f>
        <v>0</v>
      </c>
      <c r="K150">
        <f>VLOOKUP(O150,BulletType!A$1:F$35,5)</f>
        <v>4.8</v>
      </c>
      <c r="L150">
        <f>VLOOKUP(O150,BulletType!A$1:F$35,5)</f>
        <v>4.8</v>
      </c>
      <c r="M150">
        <f>VLOOKUP(O150,BulletType!A$1:F$35,6)</f>
        <v>2.4</v>
      </c>
      <c r="N150" s="3" t="str">
        <f>VLOOKUP(P150,BulletColor!A$2:B173,2)</f>
        <v>0.36,0.78,1</v>
      </c>
      <c r="O150">
        <v>4</v>
      </c>
      <c r="P150" s="2">
        <v>10</v>
      </c>
      <c r="Q150" s="2">
        <f t="shared" si="12"/>
        <v>0</v>
      </c>
    </row>
    <row r="151" spans="1:17" x14ac:dyDescent="0.2">
      <c r="A151" s="1">
        <f t="shared" si="10"/>
        <v>104101</v>
      </c>
      <c r="B151" s="3" t="str">
        <f>VLOOKUP(O151,BulletType!A$1:F$35,2)&amp;VLOOKUP(P151,BulletColor!A$1:C$25,3)</f>
        <v>米弹绿</v>
      </c>
      <c r="C151" s="3" t="str">
        <f t="shared" si="11"/>
        <v>Bullet104100</v>
      </c>
      <c r="D151" s="2">
        <f>VLOOKUP(O151,BulletType!A$2:N199,9)</f>
        <v>0</v>
      </c>
      <c r="E151" s="2">
        <f>VLOOKUP(O151,BulletType!A$2:N199,10)</f>
        <v>0</v>
      </c>
      <c r="F151" s="3" t="str">
        <f>CONCATENATE(VLOOKUP(O151,BulletType!A$2:I$35,8),VLOOKUP(P151,BulletColor!A$2:D$16,4))</f>
        <v>Bullet200090</v>
      </c>
      <c r="G151" s="3" t="str">
        <f>VLOOKUP(O151,BulletType!A$1:G$35,7)</f>
        <v>1.6,0.403</v>
      </c>
      <c r="H151" s="2">
        <f t="shared" si="9"/>
        <v>1</v>
      </c>
      <c r="I151">
        <f>VLOOKUP(O151,BulletType!A$1:F$35,3)</f>
        <v>1</v>
      </c>
      <c r="J151">
        <f>VLOOKUP(O151,BulletType!A$1:F$35,4)</f>
        <v>0</v>
      </c>
      <c r="K151">
        <f>VLOOKUP(O151,BulletType!A$1:F$35,5)</f>
        <v>4.8</v>
      </c>
      <c r="L151">
        <f>VLOOKUP(O151,BulletType!A$1:F$35,5)</f>
        <v>4.8</v>
      </c>
      <c r="M151">
        <f>VLOOKUP(O151,BulletType!A$1:F$35,6)</f>
        <v>2.4</v>
      </c>
      <c r="N151" s="3" t="str">
        <f>VLOOKUP(P151,BulletColor!A$2:B174,2)</f>
        <v>0.36,0.78,1</v>
      </c>
      <c r="O151">
        <v>4</v>
      </c>
      <c r="P151" s="2">
        <v>10</v>
      </c>
      <c r="Q151" s="2">
        <f t="shared" si="12"/>
        <v>1</v>
      </c>
    </row>
    <row r="152" spans="1:17" x14ac:dyDescent="0.2">
      <c r="A152" s="1">
        <f t="shared" si="10"/>
        <v>104110</v>
      </c>
      <c r="B152" s="3" t="str">
        <f>VLOOKUP(O152,BulletType!A$1:F$35,2)&amp;VLOOKUP(P152,BulletColor!A$1:C$25,3)</f>
        <v>米弹黄绿</v>
      </c>
      <c r="C152" s="3" t="str">
        <f t="shared" si="11"/>
        <v>Bullet104110</v>
      </c>
      <c r="D152" s="2">
        <f>VLOOKUP(O152,BulletType!A$2:N200,9)</f>
        <v>0</v>
      </c>
      <c r="E152" s="2">
        <f>VLOOKUP(O152,BulletType!A$2:N200,10)</f>
        <v>0</v>
      </c>
      <c r="F152" s="3" t="str">
        <f>CONCATENATE(VLOOKUP(O152,BulletType!A$2:I$35,8),VLOOKUP(P152,BulletColor!A$2:D$16,4))</f>
        <v>Bullet200090</v>
      </c>
      <c r="G152" s="3" t="str">
        <f>VLOOKUP(O152,BulletType!A$1:G$35,7)</f>
        <v>1.6,0.403</v>
      </c>
      <c r="H152" s="2">
        <f t="shared" si="9"/>
        <v>0</v>
      </c>
      <c r="I152">
        <f>VLOOKUP(O152,BulletType!A$1:F$35,3)</f>
        <v>1</v>
      </c>
      <c r="J152">
        <f>VLOOKUP(O152,BulletType!A$1:F$35,4)</f>
        <v>0</v>
      </c>
      <c r="K152">
        <f>VLOOKUP(O152,BulletType!A$1:F$35,5)</f>
        <v>4.8</v>
      </c>
      <c r="L152">
        <f>VLOOKUP(O152,BulletType!A$1:F$35,5)</f>
        <v>4.8</v>
      </c>
      <c r="M152">
        <f>VLOOKUP(O152,BulletType!A$1:F$35,6)</f>
        <v>2.4</v>
      </c>
      <c r="N152" s="3" t="str">
        <f>VLOOKUP(P152,BulletColor!A$2:B175,2)</f>
        <v>0.9,1,0.4</v>
      </c>
      <c r="O152">
        <v>4</v>
      </c>
      <c r="P152" s="2">
        <v>11</v>
      </c>
      <c r="Q152" s="2">
        <f t="shared" si="12"/>
        <v>0</v>
      </c>
    </row>
    <row r="153" spans="1:17" x14ac:dyDescent="0.2">
      <c r="A153" s="1">
        <f t="shared" si="10"/>
        <v>104111</v>
      </c>
      <c r="B153" s="3" t="str">
        <f>VLOOKUP(O153,BulletType!A$1:F$35,2)&amp;VLOOKUP(P153,BulletColor!A$1:C$25,3)</f>
        <v>米弹黄绿</v>
      </c>
      <c r="C153" s="3" t="str">
        <f t="shared" si="11"/>
        <v>Bullet104110</v>
      </c>
      <c r="D153" s="2">
        <f>VLOOKUP(O153,BulletType!A$2:N201,9)</f>
        <v>0</v>
      </c>
      <c r="E153" s="2">
        <f>VLOOKUP(O153,BulletType!A$2:N201,10)</f>
        <v>0</v>
      </c>
      <c r="F153" s="3" t="str">
        <f>CONCATENATE(VLOOKUP(O153,BulletType!A$2:I$35,8),VLOOKUP(P153,BulletColor!A$2:D$16,4))</f>
        <v>Bullet200090</v>
      </c>
      <c r="G153" s="3" t="str">
        <f>VLOOKUP(O153,BulletType!A$1:G$35,7)</f>
        <v>1.6,0.403</v>
      </c>
      <c r="H153" s="2">
        <f t="shared" si="9"/>
        <v>1</v>
      </c>
      <c r="I153">
        <f>VLOOKUP(O153,BulletType!A$1:F$35,3)</f>
        <v>1</v>
      </c>
      <c r="J153">
        <f>VLOOKUP(O153,BulletType!A$1:F$35,4)</f>
        <v>0</v>
      </c>
      <c r="K153">
        <f>VLOOKUP(O153,BulletType!A$1:F$35,5)</f>
        <v>4.8</v>
      </c>
      <c r="L153">
        <f>VLOOKUP(O153,BulletType!A$1:F$35,5)</f>
        <v>4.8</v>
      </c>
      <c r="M153">
        <f>VLOOKUP(O153,BulletType!A$1:F$35,6)</f>
        <v>2.4</v>
      </c>
      <c r="N153" s="3" t="str">
        <f>VLOOKUP(P153,BulletColor!A$2:B176,2)</f>
        <v>0.9,1,0.4</v>
      </c>
      <c r="O153">
        <v>4</v>
      </c>
      <c r="P153" s="2">
        <v>11</v>
      </c>
      <c r="Q153" s="2">
        <f t="shared" si="12"/>
        <v>1</v>
      </c>
    </row>
    <row r="154" spans="1:17" x14ac:dyDescent="0.2">
      <c r="A154" s="1">
        <f t="shared" si="10"/>
        <v>104120</v>
      </c>
      <c r="B154" s="3" t="str">
        <f>VLOOKUP(O154,BulletType!A$1:F$35,2)&amp;VLOOKUP(P154,BulletColor!A$1:C$25,3)</f>
        <v>米弹深黄</v>
      </c>
      <c r="C154" s="3" t="str">
        <f t="shared" si="11"/>
        <v>Bullet104120</v>
      </c>
      <c r="D154" s="2">
        <f>VLOOKUP(O154,BulletType!A$2:N202,9)</f>
        <v>0</v>
      </c>
      <c r="E154" s="2">
        <f>VLOOKUP(O154,BulletType!A$2:N202,10)</f>
        <v>0</v>
      </c>
      <c r="F154" s="3" t="str">
        <f>CONCATENATE(VLOOKUP(O154,BulletType!A$2:I$35,8),VLOOKUP(P154,BulletColor!A$2:D$16,4))</f>
        <v>Bullet200090</v>
      </c>
      <c r="G154" s="3" t="str">
        <f>VLOOKUP(O154,BulletType!A$1:G$35,7)</f>
        <v>1.6,0.403</v>
      </c>
      <c r="H154" s="2">
        <f t="shared" si="9"/>
        <v>0</v>
      </c>
      <c r="I154">
        <f>VLOOKUP(O154,BulletType!A$1:F$35,3)</f>
        <v>1</v>
      </c>
      <c r="J154">
        <f>VLOOKUP(O154,BulletType!A$1:F$35,4)</f>
        <v>0</v>
      </c>
      <c r="K154">
        <f>VLOOKUP(O154,BulletType!A$1:F$35,5)</f>
        <v>4.8</v>
      </c>
      <c r="L154">
        <f>VLOOKUP(O154,BulletType!A$1:F$35,5)</f>
        <v>4.8</v>
      </c>
      <c r="M154">
        <f>VLOOKUP(O154,BulletType!A$1:F$35,6)</f>
        <v>2.4</v>
      </c>
      <c r="N154" s="3" t="str">
        <f>VLOOKUP(P154,BulletColor!A$2:B177,2)</f>
        <v>0.9,1,0.4</v>
      </c>
      <c r="O154">
        <v>4</v>
      </c>
      <c r="P154" s="2">
        <v>12</v>
      </c>
      <c r="Q154" s="2">
        <f t="shared" si="12"/>
        <v>0</v>
      </c>
    </row>
    <row r="155" spans="1:17" x14ac:dyDescent="0.2">
      <c r="A155" s="1">
        <f t="shared" si="10"/>
        <v>104121</v>
      </c>
      <c r="B155" s="3" t="str">
        <f>VLOOKUP(O155,BulletType!A$1:F$35,2)&amp;VLOOKUP(P155,BulletColor!A$1:C$25,3)</f>
        <v>米弹深黄</v>
      </c>
      <c r="C155" s="3" t="str">
        <f t="shared" si="11"/>
        <v>Bullet104120</v>
      </c>
      <c r="D155" s="2">
        <f>VLOOKUP(O155,BulletType!A$2:N203,9)</f>
        <v>0</v>
      </c>
      <c r="E155" s="2">
        <f>VLOOKUP(O155,BulletType!A$2:N203,10)</f>
        <v>0</v>
      </c>
      <c r="F155" s="3" t="str">
        <f>CONCATENATE(VLOOKUP(O155,BulletType!A$2:I$35,8),VLOOKUP(P155,BulletColor!A$2:D$16,4))</f>
        <v>Bullet200090</v>
      </c>
      <c r="G155" s="3" t="str">
        <f>VLOOKUP(O155,BulletType!A$1:G$35,7)</f>
        <v>1.6,0.403</v>
      </c>
      <c r="H155" s="2">
        <f t="shared" si="9"/>
        <v>1</v>
      </c>
      <c r="I155">
        <f>VLOOKUP(O155,BulletType!A$1:F$35,3)</f>
        <v>1</v>
      </c>
      <c r="J155">
        <f>VLOOKUP(O155,BulletType!A$1:F$35,4)</f>
        <v>0</v>
      </c>
      <c r="K155">
        <f>VLOOKUP(O155,BulletType!A$1:F$35,5)</f>
        <v>4.8</v>
      </c>
      <c r="L155">
        <f>VLOOKUP(O155,BulletType!A$1:F$35,5)</f>
        <v>4.8</v>
      </c>
      <c r="M155">
        <f>VLOOKUP(O155,BulletType!A$1:F$35,6)</f>
        <v>2.4</v>
      </c>
      <c r="N155" s="3" t="str">
        <f>VLOOKUP(P155,BulletColor!A$2:B178,2)</f>
        <v>0.9,1,0.4</v>
      </c>
      <c r="O155">
        <v>4</v>
      </c>
      <c r="P155" s="2">
        <v>12</v>
      </c>
      <c r="Q155" s="2">
        <f t="shared" si="12"/>
        <v>1</v>
      </c>
    </row>
    <row r="156" spans="1:17" x14ac:dyDescent="0.2">
      <c r="A156" s="1">
        <f t="shared" si="10"/>
        <v>104130</v>
      </c>
      <c r="B156" s="3" t="str">
        <f>VLOOKUP(O156,BulletType!A$1:F$35,2)&amp;VLOOKUP(P156,BulletColor!A$1:C$25,3)</f>
        <v>米弹浅黄</v>
      </c>
      <c r="C156" s="3" t="str">
        <f t="shared" si="11"/>
        <v>Bullet104130</v>
      </c>
      <c r="D156" s="2">
        <f>VLOOKUP(O156,BulletType!A$2:N204,9)</f>
        <v>0</v>
      </c>
      <c r="E156" s="2">
        <f>VLOOKUP(O156,BulletType!A$2:N204,10)</f>
        <v>0</v>
      </c>
      <c r="F156" s="3" t="str">
        <f>CONCATENATE(VLOOKUP(O156,BulletType!A$2:I$35,8),VLOOKUP(P156,BulletColor!A$2:D$16,4))</f>
        <v>Bullet200130</v>
      </c>
      <c r="G156" s="3" t="str">
        <f>VLOOKUP(O156,BulletType!A$1:G$35,7)</f>
        <v>1.6,0.403</v>
      </c>
      <c r="H156" s="2">
        <f t="shared" si="9"/>
        <v>0</v>
      </c>
      <c r="I156">
        <f>VLOOKUP(O156,BulletType!A$1:F$35,3)</f>
        <v>1</v>
      </c>
      <c r="J156">
        <f>VLOOKUP(O156,BulletType!A$1:F$35,4)</f>
        <v>0</v>
      </c>
      <c r="K156">
        <f>VLOOKUP(O156,BulletType!A$1:F$35,5)</f>
        <v>4.8</v>
      </c>
      <c r="L156">
        <f>VLOOKUP(O156,BulletType!A$1:F$35,5)</f>
        <v>4.8</v>
      </c>
      <c r="M156">
        <f>VLOOKUP(O156,BulletType!A$1:F$35,6)</f>
        <v>2.4</v>
      </c>
      <c r="N156" s="3" t="str">
        <f>VLOOKUP(P156,BulletColor!A$2:B179,2)</f>
        <v>0.9,1,0.4</v>
      </c>
      <c r="O156">
        <v>4</v>
      </c>
      <c r="P156" s="2">
        <v>13</v>
      </c>
      <c r="Q156" s="2">
        <f t="shared" si="12"/>
        <v>0</v>
      </c>
    </row>
    <row r="157" spans="1:17" x14ac:dyDescent="0.2">
      <c r="A157" s="1">
        <f t="shared" si="10"/>
        <v>104131</v>
      </c>
      <c r="B157" s="3" t="str">
        <f>VLOOKUP(O157,BulletType!A$1:F$35,2)&amp;VLOOKUP(P157,BulletColor!A$1:C$25,3)</f>
        <v>米弹浅黄</v>
      </c>
      <c r="C157" s="3" t="str">
        <f t="shared" si="11"/>
        <v>Bullet104130</v>
      </c>
      <c r="D157" s="2">
        <f>VLOOKUP(O157,BulletType!A$2:N205,9)</f>
        <v>0</v>
      </c>
      <c r="E157" s="2">
        <f>VLOOKUP(O157,BulletType!A$2:N205,10)</f>
        <v>0</v>
      </c>
      <c r="F157" s="3" t="str">
        <f>CONCATENATE(VLOOKUP(O157,BulletType!A$2:I$35,8),VLOOKUP(P157,BulletColor!A$2:D$16,4))</f>
        <v>Bullet200130</v>
      </c>
      <c r="G157" s="3" t="str">
        <f>VLOOKUP(O157,BulletType!A$1:G$35,7)</f>
        <v>1.6,0.403</v>
      </c>
      <c r="H157" s="2">
        <f t="shared" si="9"/>
        <v>1</v>
      </c>
      <c r="I157">
        <f>VLOOKUP(O157,BulletType!A$1:F$35,3)</f>
        <v>1</v>
      </c>
      <c r="J157">
        <f>VLOOKUP(O157,BulletType!A$1:F$35,4)</f>
        <v>0</v>
      </c>
      <c r="K157">
        <f>VLOOKUP(O157,BulletType!A$1:F$35,5)</f>
        <v>4.8</v>
      </c>
      <c r="L157">
        <f>VLOOKUP(O157,BulletType!A$1:F$35,5)</f>
        <v>4.8</v>
      </c>
      <c r="M157">
        <f>VLOOKUP(O157,BulletType!A$1:F$35,6)</f>
        <v>2.4</v>
      </c>
      <c r="N157" s="3" t="str">
        <f>VLOOKUP(P157,BulletColor!A$2:B180,2)</f>
        <v>0.9,1,0.4</v>
      </c>
      <c r="O157">
        <v>4</v>
      </c>
      <c r="P157" s="2">
        <v>13</v>
      </c>
      <c r="Q157" s="2">
        <f t="shared" si="12"/>
        <v>1</v>
      </c>
    </row>
    <row r="158" spans="1:17" x14ac:dyDescent="0.2">
      <c r="A158" s="1">
        <f t="shared" si="10"/>
        <v>104140</v>
      </c>
      <c r="B158" s="3" t="str">
        <f>VLOOKUP(O158,BulletType!A$1:F$35,2)&amp;VLOOKUP(P158,BulletColor!A$1:C$25,3)</f>
        <v>米弹棕黄</v>
      </c>
      <c r="C158" s="3" t="str">
        <f t="shared" si="11"/>
        <v>Bullet104140</v>
      </c>
      <c r="D158" s="2">
        <f>VLOOKUP(O158,BulletType!A$2:N206,9)</f>
        <v>0</v>
      </c>
      <c r="E158" s="2">
        <f>VLOOKUP(O158,BulletType!A$2:N206,10)</f>
        <v>0</v>
      </c>
      <c r="F158" s="3" t="str">
        <f>CONCATENATE(VLOOKUP(O158,BulletType!A$2:I$35,8),VLOOKUP(P158,BulletColor!A$2:D$16,4))</f>
        <v>Bullet200130</v>
      </c>
      <c r="G158" s="3" t="str">
        <f>VLOOKUP(O158,BulletType!A$1:G$35,7)</f>
        <v>1.6,0.403</v>
      </c>
      <c r="H158" s="2">
        <f t="shared" si="9"/>
        <v>0</v>
      </c>
      <c r="I158">
        <f>VLOOKUP(O158,BulletType!A$1:F$35,3)</f>
        <v>1</v>
      </c>
      <c r="J158">
        <f>VLOOKUP(O158,BulletType!A$1:F$35,4)</f>
        <v>0</v>
      </c>
      <c r="K158">
        <f>VLOOKUP(O158,BulletType!A$1:F$35,5)</f>
        <v>4.8</v>
      </c>
      <c r="L158">
        <f>VLOOKUP(O158,BulletType!A$1:F$35,5)</f>
        <v>4.8</v>
      </c>
      <c r="M158">
        <f>VLOOKUP(O158,BulletType!A$1:F$35,6)</f>
        <v>2.4</v>
      </c>
      <c r="N158" s="3" t="str">
        <f>VLOOKUP(P158,BulletColor!A$2:B181,2)</f>
        <v>0.9,1,0.4</v>
      </c>
      <c r="O158">
        <v>4</v>
      </c>
      <c r="P158" s="2">
        <v>14</v>
      </c>
      <c r="Q158" s="2">
        <f t="shared" si="12"/>
        <v>0</v>
      </c>
    </row>
    <row r="159" spans="1:17" x14ac:dyDescent="0.2">
      <c r="A159" s="1">
        <f t="shared" si="10"/>
        <v>104141</v>
      </c>
      <c r="B159" s="3" t="str">
        <f>VLOOKUP(O159,BulletType!A$1:F$35,2)&amp;VLOOKUP(P159,BulletColor!A$1:C$25,3)</f>
        <v>米弹棕黄</v>
      </c>
      <c r="C159" s="3" t="str">
        <f t="shared" si="11"/>
        <v>Bullet104140</v>
      </c>
      <c r="D159" s="2">
        <f>VLOOKUP(O159,BulletType!A$2:N207,9)</f>
        <v>0</v>
      </c>
      <c r="E159" s="2">
        <f>VLOOKUP(O159,BulletType!A$2:N207,10)</f>
        <v>0</v>
      </c>
      <c r="F159" s="3" t="str">
        <f>CONCATENATE(VLOOKUP(O159,BulletType!A$2:I$35,8),VLOOKUP(P159,BulletColor!A$2:D$16,4))</f>
        <v>Bullet200130</v>
      </c>
      <c r="G159" s="3" t="str">
        <f>VLOOKUP(O159,BulletType!A$1:G$35,7)</f>
        <v>1.6,0.403</v>
      </c>
      <c r="H159" s="2">
        <f t="shared" si="9"/>
        <v>1</v>
      </c>
      <c r="I159">
        <f>VLOOKUP(O159,BulletType!A$1:F$35,3)</f>
        <v>1</v>
      </c>
      <c r="J159">
        <f>VLOOKUP(O159,BulletType!A$1:F$35,4)</f>
        <v>0</v>
      </c>
      <c r="K159">
        <f>VLOOKUP(O159,BulletType!A$1:F$35,5)</f>
        <v>4.8</v>
      </c>
      <c r="L159">
        <f>VLOOKUP(O159,BulletType!A$1:F$35,5)</f>
        <v>4.8</v>
      </c>
      <c r="M159">
        <f>VLOOKUP(O159,BulletType!A$1:F$35,6)</f>
        <v>2.4</v>
      </c>
      <c r="N159" s="3" t="str">
        <f>VLOOKUP(P159,BulletColor!A$2:B182,2)</f>
        <v>0.9,1,0.4</v>
      </c>
      <c r="O159">
        <v>4</v>
      </c>
      <c r="P159" s="2">
        <v>14</v>
      </c>
      <c r="Q159" s="2">
        <f t="shared" si="12"/>
        <v>1</v>
      </c>
    </row>
    <row r="160" spans="1:17" x14ac:dyDescent="0.2">
      <c r="A160" s="1">
        <f t="shared" si="10"/>
        <v>104150</v>
      </c>
      <c r="B160" s="3" t="str">
        <f>VLOOKUP(O160,BulletType!A$1:F$35,2)&amp;VLOOKUP(P160,BulletColor!A$1:C$25,3)</f>
        <v>米弹白</v>
      </c>
      <c r="C160" s="3" t="str">
        <f t="shared" si="11"/>
        <v>Bullet104150</v>
      </c>
      <c r="D160" s="2">
        <f>VLOOKUP(O160,BulletType!A$2:N208,9)</f>
        <v>0</v>
      </c>
      <c r="E160" s="2">
        <f>VLOOKUP(O160,BulletType!A$2:N208,10)</f>
        <v>0</v>
      </c>
      <c r="F160" s="3" t="str">
        <f>CONCATENATE(VLOOKUP(O160,BulletType!A$2:I$35,8),VLOOKUP(P160,BulletColor!A$2:D$16,4))</f>
        <v>Bullet200130</v>
      </c>
      <c r="G160" s="3" t="str">
        <f>VLOOKUP(O160,BulletType!A$1:G$35,7)</f>
        <v>1.6,0.403</v>
      </c>
      <c r="H160" s="2">
        <f t="shared" si="9"/>
        <v>0</v>
      </c>
      <c r="I160">
        <f>VLOOKUP(O160,BulletType!A$1:F$35,3)</f>
        <v>1</v>
      </c>
      <c r="J160">
        <f>VLOOKUP(O160,BulletType!A$1:F$35,4)</f>
        <v>0</v>
      </c>
      <c r="K160">
        <f>VLOOKUP(O160,BulletType!A$1:F$35,5)</f>
        <v>4.8</v>
      </c>
      <c r="L160">
        <f>VLOOKUP(O160,BulletType!A$1:F$35,5)</f>
        <v>4.8</v>
      </c>
      <c r="M160">
        <f>VLOOKUP(O160,BulletType!A$1:F$35,6)</f>
        <v>2.4</v>
      </c>
      <c r="N160" s="3" t="str">
        <f>VLOOKUP(P160,BulletColor!A$2:B183,2)</f>
        <v>0.8,0.8,0.8</v>
      </c>
      <c r="O160">
        <v>4</v>
      </c>
      <c r="P160" s="2">
        <v>15</v>
      </c>
      <c r="Q160" s="2">
        <f t="shared" si="12"/>
        <v>0</v>
      </c>
    </row>
    <row r="161" spans="1:17" x14ac:dyDescent="0.2">
      <c r="A161" s="1">
        <f t="shared" si="10"/>
        <v>104151</v>
      </c>
      <c r="B161" s="3" t="str">
        <f>VLOOKUP(O161,BulletType!A$1:F$35,2)&amp;VLOOKUP(P161,BulletColor!A$1:C$25,3)</f>
        <v>米弹白</v>
      </c>
      <c r="C161" s="3" t="str">
        <f t="shared" si="11"/>
        <v>Bullet104150</v>
      </c>
      <c r="D161" s="2">
        <f>VLOOKUP(O161,BulletType!A$2:N209,9)</f>
        <v>0</v>
      </c>
      <c r="E161" s="2">
        <f>VLOOKUP(O161,BulletType!A$2:N209,10)</f>
        <v>0</v>
      </c>
      <c r="F161" s="3" t="str">
        <f>CONCATENATE(VLOOKUP(O161,BulletType!A$2:I$35,8),VLOOKUP(P161,BulletColor!A$2:D$16,4))</f>
        <v>Bullet200130</v>
      </c>
      <c r="G161" s="3" t="str">
        <f>VLOOKUP(O161,BulletType!A$1:G$35,7)</f>
        <v>1.6,0.403</v>
      </c>
      <c r="H161" s="2">
        <f t="shared" si="9"/>
        <v>1</v>
      </c>
      <c r="I161">
        <f>VLOOKUP(O161,BulletType!A$1:F$35,3)</f>
        <v>1</v>
      </c>
      <c r="J161">
        <f>VLOOKUP(O161,BulletType!A$1:F$35,4)</f>
        <v>0</v>
      </c>
      <c r="K161">
        <f>VLOOKUP(O161,BulletType!A$1:F$35,5)</f>
        <v>4.8</v>
      </c>
      <c r="L161">
        <f>VLOOKUP(O161,BulletType!A$1:F$35,5)</f>
        <v>4.8</v>
      </c>
      <c r="M161">
        <f>VLOOKUP(O161,BulletType!A$1:F$35,6)</f>
        <v>2.4</v>
      </c>
      <c r="N161" s="3" t="str">
        <f>VLOOKUP(P161,BulletColor!A$2:B184,2)</f>
        <v>0.8,0.8,0.8</v>
      </c>
      <c r="O161">
        <v>4</v>
      </c>
      <c r="P161" s="2">
        <v>15</v>
      </c>
      <c r="Q161" s="2">
        <f t="shared" si="12"/>
        <v>1</v>
      </c>
    </row>
    <row r="162" spans="1:17" x14ac:dyDescent="0.2">
      <c r="A162" s="1">
        <f t="shared" si="10"/>
        <v>105000</v>
      </c>
      <c r="B162" s="3" t="str">
        <f>VLOOKUP(O162,BulletType!A$1:F$35,2)&amp;VLOOKUP(P162,BulletColor!A$1:C$25,3)</f>
        <v>链弹灰</v>
      </c>
      <c r="C162" s="3" t="str">
        <f t="shared" si="11"/>
        <v>Bullet105000</v>
      </c>
      <c r="D162" s="2">
        <f>VLOOKUP(O162,BulletType!A$2:N210,9)</f>
        <v>0</v>
      </c>
      <c r="E162" s="2">
        <f>VLOOKUP(O162,BulletType!A$2:N210,10)</f>
        <v>0</v>
      </c>
      <c r="F162" s="3" t="str">
        <f>CONCATENATE(VLOOKUP(O162,BulletType!A$2:I$35,8),VLOOKUP(P162,BulletColor!A$2:D$16,4))</f>
        <v>Bullet200000</v>
      </c>
      <c r="G162" s="3" t="str">
        <f>VLOOKUP(O162,BulletType!A$1:G$35,7)</f>
        <v>1.6,0.407</v>
      </c>
      <c r="H162" s="2">
        <f t="shared" si="9"/>
        <v>0</v>
      </c>
      <c r="I162">
        <f>VLOOKUP(O162,BulletType!A$1:F$35,3)</f>
        <v>1</v>
      </c>
      <c r="J162">
        <f>VLOOKUP(O162,BulletType!A$1:F$35,4)</f>
        <v>0</v>
      </c>
      <c r="K162">
        <f>VLOOKUP(O162,BulletType!A$1:F$35,5)</f>
        <v>4.8</v>
      </c>
      <c r="L162">
        <f>VLOOKUP(O162,BulletType!A$1:F$35,5)</f>
        <v>4.8</v>
      </c>
      <c r="M162">
        <f>VLOOKUP(O162,BulletType!A$1:F$35,6)</f>
        <v>2.4</v>
      </c>
      <c r="N162" s="3" t="str">
        <f>VLOOKUP(P162,BulletColor!A$2:B185,2)</f>
        <v>0.5,0.5,0.5</v>
      </c>
      <c r="O162">
        <v>5</v>
      </c>
      <c r="P162" s="2">
        <v>0</v>
      </c>
      <c r="Q162" s="2">
        <f t="shared" si="12"/>
        <v>0</v>
      </c>
    </row>
    <row r="163" spans="1:17" x14ac:dyDescent="0.2">
      <c r="A163" s="1">
        <f t="shared" si="10"/>
        <v>105001</v>
      </c>
      <c r="B163" s="3" t="str">
        <f>VLOOKUP(O163,BulletType!A$1:F$35,2)&amp;VLOOKUP(P163,BulletColor!A$1:C$25,3)</f>
        <v>链弹灰</v>
      </c>
      <c r="C163" s="3" t="str">
        <f t="shared" si="11"/>
        <v>Bullet105000</v>
      </c>
      <c r="D163" s="2">
        <f>VLOOKUP(O163,BulletType!A$2:N211,9)</f>
        <v>0</v>
      </c>
      <c r="E163" s="2">
        <f>VLOOKUP(O163,BulletType!A$2:N211,10)</f>
        <v>0</v>
      </c>
      <c r="F163" s="3" t="str">
        <f>CONCATENATE(VLOOKUP(O163,BulletType!A$2:I$35,8),VLOOKUP(P163,BulletColor!A$2:D$16,4))</f>
        <v>Bullet200000</v>
      </c>
      <c r="G163" s="3" t="str">
        <f>VLOOKUP(O163,BulletType!A$1:G$35,7)</f>
        <v>1.6,0.407</v>
      </c>
      <c r="H163" s="2">
        <f t="shared" si="9"/>
        <v>1</v>
      </c>
      <c r="I163">
        <f>VLOOKUP(O163,BulletType!A$1:F$35,3)</f>
        <v>1</v>
      </c>
      <c r="J163">
        <f>VLOOKUP(O163,BulletType!A$1:F$35,4)</f>
        <v>0</v>
      </c>
      <c r="K163">
        <f>VLOOKUP(O163,BulletType!A$1:F$35,5)</f>
        <v>4.8</v>
      </c>
      <c r="L163">
        <f>VLOOKUP(O163,BulletType!A$1:F$35,5)</f>
        <v>4.8</v>
      </c>
      <c r="M163">
        <f>VLOOKUP(O163,BulletType!A$1:F$35,6)</f>
        <v>2.4</v>
      </c>
      <c r="N163" s="3" t="str">
        <f>VLOOKUP(P163,BulletColor!A$2:B186,2)</f>
        <v>0.5,0.5,0.5</v>
      </c>
      <c r="O163">
        <v>5</v>
      </c>
      <c r="P163" s="2">
        <v>0</v>
      </c>
      <c r="Q163" s="2">
        <f t="shared" si="12"/>
        <v>1</v>
      </c>
    </row>
    <row r="164" spans="1:17" x14ac:dyDescent="0.2">
      <c r="A164" s="1">
        <f t="shared" si="10"/>
        <v>105010</v>
      </c>
      <c r="B164" s="3" t="str">
        <f>VLOOKUP(O164,BulletType!A$1:F$35,2)&amp;VLOOKUP(P164,BulletColor!A$1:C$25,3)</f>
        <v>链弹深红</v>
      </c>
      <c r="C164" s="3" t="str">
        <f t="shared" si="11"/>
        <v>Bullet105010</v>
      </c>
      <c r="D164" s="2">
        <f>VLOOKUP(O164,BulletType!A$2:N212,9)</f>
        <v>0</v>
      </c>
      <c r="E164" s="2">
        <f>VLOOKUP(O164,BulletType!A$2:N212,10)</f>
        <v>0</v>
      </c>
      <c r="F164" s="3" t="str">
        <f>CONCATENATE(VLOOKUP(O164,BulletType!A$2:I$35,8),VLOOKUP(P164,BulletColor!A$2:D$16,4))</f>
        <v>Bullet200010</v>
      </c>
      <c r="G164" s="3" t="str">
        <f>VLOOKUP(O164,BulletType!A$1:G$35,7)</f>
        <v>1.6,0.407</v>
      </c>
      <c r="H164" s="2">
        <f t="shared" si="9"/>
        <v>0</v>
      </c>
      <c r="I164">
        <f>VLOOKUP(O164,BulletType!A$1:F$35,3)</f>
        <v>1</v>
      </c>
      <c r="J164">
        <f>VLOOKUP(O164,BulletType!A$1:F$35,4)</f>
        <v>0</v>
      </c>
      <c r="K164">
        <f>VLOOKUP(O164,BulletType!A$1:F$35,5)</f>
        <v>4.8</v>
      </c>
      <c r="L164">
        <f>VLOOKUP(O164,BulletType!A$1:F$35,5)</f>
        <v>4.8</v>
      </c>
      <c r="M164">
        <f>VLOOKUP(O164,BulletType!A$1:F$35,6)</f>
        <v>2.4</v>
      </c>
      <c r="N164" s="3" t="str">
        <f>VLOOKUP(P164,BulletColor!A$2:B187,2)</f>
        <v>0.625,0.3,0.3</v>
      </c>
      <c r="O164">
        <v>5</v>
      </c>
      <c r="P164" s="2">
        <v>1</v>
      </c>
      <c r="Q164" s="2">
        <f t="shared" si="12"/>
        <v>0</v>
      </c>
    </row>
    <row r="165" spans="1:17" x14ac:dyDescent="0.2">
      <c r="A165" s="1">
        <f t="shared" si="10"/>
        <v>105011</v>
      </c>
      <c r="B165" s="3" t="str">
        <f>VLOOKUP(O165,BulletType!A$1:F$35,2)&amp;VLOOKUP(P165,BulletColor!A$1:C$25,3)</f>
        <v>链弹深红</v>
      </c>
      <c r="C165" s="3" t="str">
        <f t="shared" si="11"/>
        <v>Bullet105010</v>
      </c>
      <c r="D165" s="2">
        <f>VLOOKUP(O165,BulletType!A$2:N213,9)</f>
        <v>0</v>
      </c>
      <c r="E165" s="2">
        <f>VLOOKUP(O165,BulletType!A$2:N213,10)</f>
        <v>0</v>
      </c>
      <c r="F165" s="3" t="str">
        <f>CONCATENATE(VLOOKUP(O165,BulletType!A$2:I$35,8),VLOOKUP(P165,BulletColor!A$2:D$16,4))</f>
        <v>Bullet200010</v>
      </c>
      <c r="G165" s="3" t="str">
        <f>VLOOKUP(O165,BulletType!A$1:G$35,7)</f>
        <v>1.6,0.407</v>
      </c>
      <c r="H165" s="2">
        <f t="shared" si="9"/>
        <v>1</v>
      </c>
      <c r="I165">
        <f>VLOOKUP(O165,BulletType!A$1:F$35,3)</f>
        <v>1</v>
      </c>
      <c r="J165">
        <f>VLOOKUP(O165,BulletType!A$1:F$35,4)</f>
        <v>0</v>
      </c>
      <c r="K165">
        <f>VLOOKUP(O165,BulletType!A$1:F$35,5)</f>
        <v>4.8</v>
      </c>
      <c r="L165">
        <f>VLOOKUP(O165,BulletType!A$1:F$35,5)</f>
        <v>4.8</v>
      </c>
      <c r="M165">
        <f>VLOOKUP(O165,BulletType!A$1:F$35,6)</f>
        <v>2.4</v>
      </c>
      <c r="N165" s="3" t="str">
        <f>VLOOKUP(P165,BulletColor!A$2:B188,2)</f>
        <v>0.625,0.3,0.3</v>
      </c>
      <c r="O165">
        <v>5</v>
      </c>
      <c r="P165" s="2">
        <v>1</v>
      </c>
      <c r="Q165" s="2">
        <f t="shared" si="12"/>
        <v>1</v>
      </c>
    </row>
    <row r="166" spans="1:17" x14ac:dyDescent="0.2">
      <c r="A166" s="1">
        <f t="shared" si="10"/>
        <v>105020</v>
      </c>
      <c r="B166" s="3" t="str">
        <f>VLOOKUP(O166,BulletType!A$1:F$35,2)&amp;VLOOKUP(P166,BulletColor!A$1:C$25,3)</f>
        <v>链弹红</v>
      </c>
      <c r="C166" s="3" t="str">
        <f t="shared" si="11"/>
        <v>Bullet105020</v>
      </c>
      <c r="D166" s="2">
        <f>VLOOKUP(O166,BulletType!A$2:N214,9)</f>
        <v>0</v>
      </c>
      <c r="E166" s="2">
        <f>VLOOKUP(O166,BulletType!A$2:N214,10)</f>
        <v>0</v>
      </c>
      <c r="F166" s="3" t="str">
        <f>CONCATENATE(VLOOKUP(O166,BulletType!A$2:I$35,8),VLOOKUP(P166,BulletColor!A$2:D$16,4))</f>
        <v>Bullet200010</v>
      </c>
      <c r="G166" s="3" t="str">
        <f>VLOOKUP(O166,BulletType!A$1:G$35,7)</f>
        <v>1.6,0.407</v>
      </c>
      <c r="H166" s="2">
        <f t="shared" si="9"/>
        <v>0</v>
      </c>
      <c r="I166">
        <f>VLOOKUP(O166,BulletType!A$1:F$35,3)</f>
        <v>1</v>
      </c>
      <c r="J166">
        <f>VLOOKUP(O166,BulletType!A$1:F$35,4)</f>
        <v>0</v>
      </c>
      <c r="K166">
        <f>VLOOKUP(O166,BulletType!A$1:F$35,5)</f>
        <v>4.8</v>
      </c>
      <c r="L166">
        <f>VLOOKUP(O166,BulletType!A$1:F$35,5)</f>
        <v>4.8</v>
      </c>
      <c r="M166">
        <f>VLOOKUP(O166,BulletType!A$1:F$35,6)</f>
        <v>2.4</v>
      </c>
      <c r="N166" s="3" t="str">
        <f>VLOOKUP(P166,BulletColor!A$2:B189,2)</f>
        <v>0.8,0.3,0.3</v>
      </c>
      <c r="O166">
        <v>5</v>
      </c>
      <c r="P166" s="2">
        <v>2</v>
      </c>
      <c r="Q166" s="2">
        <f t="shared" si="12"/>
        <v>0</v>
      </c>
    </row>
    <row r="167" spans="1:17" x14ac:dyDescent="0.2">
      <c r="A167" s="1">
        <f t="shared" si="10"/>
        <v>105021</v>
      </c>
      <c r="B167" s="3" t="str">
        <f>VLOOKUP(O167,BulletType!A$1:F$35,2)&amp;VLOOKUP(P167,BulletColor!A$1:C$25,3)</f>
        <v>链弹红</v>
      </c>
      <c r="C167" s="3" t="str">
        <f t="shared" si="11"/>
        <v>Bullet105020</v>
      </c>
      <c r="D167" s="2">
        <f>VLOOKUP(O167,BulletType!A$2:N215,9)</f>
        <v>0</v>
      </c>
      <c r="E167" s="2">
        <f>VLOOKUP(O167,BulletType!A$2:N215,10)</f>
        <v>0</v>
      </c>
      <c r="F167" s="3" t="str">
        <f>CONCATENATE(VLOOKUP(O167,BulletType!A$2:I$35,8),VLOOKUP(P167,BulletColor!A$2:D$16,4))</f>
        <v>Bullet200010</v>
      </c>
      <c r="G167" s="3" t="str">
        <f>VLOOKUP(O167,BulletType!A$1:G$35,7)</f>
        <v>1.6,0.407</v>
      </c>
      <c r="H167" s="2">
        <f t="shared" si="9"/>
        <v>1</v>
      </c>
      <c r="I167">
        <f>VLOOKUP(O167,BulletType!A$1:F$35,3)</f>
        <v>1</v>
      </c>
      <c r="J167">
        <f>VLOOKUP(O167,BulletType!A$1:F$35,4)</f>
        <v>0</v>
      </c>
      <c r="K167">
        <f>VLOOKUP(O167,BulletType!A$1:F$35,5)</f>
        <v>4.8</v>
      </c>
      <c r="L167">
        <f>VLOOKUP(O167,BulletType!A$1:F$35,5)</f>
        <v>4.8</v>
      </c>
      <c r="M167">
        <f>VLOOKUP(O167,BulletType!A$1:F$35,6)</f>
        <v>2.4</v>
      </c>
      <c r="N167" s="3" t="str">
        <f>VLOOKUP(P167,BulletColor!A$2:B190,2)</f>
        <v>0.8,0.3,0.3</v>
      </c>
      <c r="O167">
        <v>5</v>
      </c>
      <c r="P167" s="2">
        <v>2</v>
      </c>
      <c r="Q167" s="2">
        <f t="shared" si="12"/>
        <v>1</v>
      </c>
    </row>
    <row r="168" spans="1:17" x14ac:dyDescent="0.2">
      <c r="A168" s="1">
        <f t="shared" si="10"/>
        <v>105030</v>
      </c>
      <c r="B168" s="3" t="str">
        <f>VLOOKUP(O168,BulletType!A$1:F$35,2)&amp;VLOOKUP(P168,BulletColor!A$1:C$25,3)</f>
        <v>链弹深紫</v>
      </c>
      <c r="C168" s="3" t="str">
        <f t="shared" si="11"/>
        <v>Bullet105030</v>
      </c>
      <c r="D168" s="2">
        <f>VLOOKUP(O168,BulletType!A$2:N216,9)</f>
        <v>0</v>
      </c>
      <c r="E168" s="2">
        <f>VLOOKUP(O168,BulletType!A$2:N216,10)</f>
        <v>0</v>
      </c>
      <c r="F168" s="3" t="str">
        <f>CONCATENATE(VLOOKUP(O168,BulletType!A$2:I$35,8),VLOOKUP(P168,BulletColor!A$2:D$16,4))</f>
        <v>Bullet200030</v>
      </c>
      <c r="G168" s="3" t="str">
        <f>VLOOKUP(O168,BulletType!A$1:G$35,7)</f>
        <v>1.6,0.407</v>
      </c>
      <c r="H168" s="2">
        <f t="shared" si="9"/>
        <v>0</v>
      </c>
      <c r="I168">
        <f>VLOOKUP(O168,BulletType!A$1:F$35,3)</f>
        <v>1</v>
      </c>
      <c r="J168">
        <f>VLOOKUP(O168,BulletType!A$1:F$35,4)</f>
        <v>0</v>
      </c>
      <c r="K168">
        <f>VLOOKUP(O168,BulletType!A$1:F$35,5)</f>
        <v>4.8</v>
      </c>
      <c r="L168">
        <f>VLOOKUP(O168,BulletType!A$1:F$35,5)</f>
        <v>4.8</v>
      </c>
      <c r="M168">
        <f>VLOOKUP(O168,BulletType!A$1:F$35,6)</f>
        <v>2.4</v>
      </c>
      <c r="N168" s="3" t="str">
        <f>VLOOKUP(P168,BulletColor!A$2:B191,2)</f>
        <v>1,0.65,1</v>
      </c>
      <c r="O168">
        <v>5</v>
      </c>
      <c r="P168" s="2">
        <v>3</v>
      </c>
      <c r="Q168" s="2">
        <f t="shared" si="12"/>
        <v>0</v>
      </c>
    </row>
    <row r="169" spans="1:17" x14ac:dyDescent="0.2">
      <c r="A169" s="1">
        <f t="shared" si="10"/>
        <v>105031</v>
      </c>
      <c r="B169" s="3" t="str">
        <f>VLOOKUP(O169,BulletType!A$1:F$35,2)&amp;VLOOKUP(P169,BulletColor!A$1:C$25,3)</f>
        <v>链弹深紫</v>
      </c>
      <c r="C169" s="3" t="str">
        <f t="shared" si="11"/>
        <v>Bullet105030</v>
      </c>
      <c r="D169" s="2">
        <f>VLOOKUP(O169,BulletType!A$2:N217,9)</f>
        <v>0</v>
      </c>
      <c r="E169" s="2">
        <f>VLOOKUP(O169,BulletType!A$2:N217,10)</f>
        <v>0</v>
      </c>
      <c r="F169" s="3" t="str">
        <f>CONCATENATE(VLOOKUP(O169,BulletType!A$2:I$35,8),VLOOKUP(P169,BulletColor!A$2:D$16,4))</f>
        <v>Bullet200030</v>
      </c>
      <c r="G169" s="3" t="str">
        <f>VLOOKUP(O169,BulletType!A$1:G$35,7)</f>
        <v>1.6,0.407</v>
      </c>
      <c r="H169" s="2">
        <f t="shared" si="9"/>
        <v>1</v>
      </c>
      <c r="I169">
        <f>VLOOKUP(O169,BulletType!A$1:F$35,3)</f>
        <v>1</v>
      </c>
      <c r="J169">
        <f>VLOOKUP(O169,BulletType!A$1:F$35,4)</f>
        <v>0</v>
      </c>
      <c r="K169">
        <f>VLOOKUP(O169,BulletType!A$1:F$35,5)</f>
        <v>4.8</v>
      </c>
      <c r="L169">
        <f>VLOOKUP(O169,BulletType!A$1:F$35,5)</f>
        <v>4.8</v>
      </c>
      <c r="M169">
        <f>VLOOKUP(O169,BulletType!A$1:F$35,6)</f>
        <v>2.4</v>
      </c>
      <c r="N169" s="3" t="str">
        <f>VLOOKUP(P169,BulletColor!A$2:B192,2)</f>
        <v>1,0.65,1</v>
      </c>
      <c r="O169">
        <v>5</v>
      </c>
      <c r="P169" s="2">
        <v>3</v>
      </c>
      <c r="Q169" s="2">
        <f t="shared" si="12"/>
        <v>1</v>
      </c>
    </row>
    <row r="170" spans="1:17" x14ac:dyDescent="0.2">
      <c r="A170" s="1">
        <f t="shared" si="10"/>
        <v>105040</v>
      </c>
      <c r="B170" s="3" t="str">
        <f>VLOOKUP(O170,BulletType!A$1:F$35,2)&amp;VLOOKUP(P170,BulletColor!A$1:C$25,3)</f>
        <v>链弹紫</v>
      </c>
      <c r="C170" s="3" t="str">
        <f t="shared" si="11"/>
        <v>Bullet105040</v>
      </c>
      <c r="D170" s="2">
        <f>VLOOKUP(O170,BulletType!A$2:N218,9)</f>
        <v>0</v>
      </c>
      <c r="E170" s="2">
        <f>VLOOKUP(O170,BulletType!A$2:N218,10)</f>
        <v>0</v>
      </c>
      <c r="F170" s="3" t="str">
        <f>CONCATENATE(VLOOKUP(O170,BulletType!A$2:I$35,8),VLOOKUP(P170,BulletColor!A$2:D$16,4))</f>
        <v>Bullet200030</v>
      </c>
      <c r="G170" s="3" t="str">
        <f>VLOOKUP(O170,BulletType!A$1:G$35,7)</f>
        <v>1.6,0.407</v>
      </c>
      <c r="H170" s="2">
        <f t="shared" si="9"/>
        <v>0</v>
      </c>
      <c r="I170">
        <f>VLOOKUP(O170,BulletType!A$1:F$35,3)</f>
        <v>1</v>
      </c>
      <c r="J170">
        <f>VLOOKUP(O170,BulletType!A$1:F$35,4)</f>
        <v>0</v>
      </c>
      <c r="K170">
        <f>VLOOKUP(O170,BulletType!A$1:F$35,5)</f>
        <v>4.8</v>
      </c>
      <c r="L170">
        <f>VLOOKUP(O170,BulletType!A$1:F$35,5)</f>
        <v>4.8</v>
      </c>
      <c r="M170">
        <f>VLOOKUP(O170,BulletType!A$1:F$35,6)</f>
        <v>2.4</v>
      </c>
      <c r="N170" s="3" t="str">
        <f>VLOOKUP(P170,BulletColor!A$2:B193,2)</f>
        <v>1,0.65,1</v>
      </c>
      <c r="O170">
        <v>5</v>
      </c>
      <c r="P170" s="2">
        <v>4</v>
      </c>
      <c r="Q170" s="2">
        <f t="shared" si="12"/>
        <v>0</v>
      </c>
    </row>
    <row r="171" spans="1:17" x14ac:dyDescent="0.2">
      <c r="A171" s="1">
        <f t="shared" si="10"/>
        <v>105041</v>
      </c>
      <c r="B171" s="3" t="str">
        <f>VLOOKUP(O171,BulletType!A$1:F$35,2)&amp;VLOOKUP(P171,BulletColor!A$1:C$25,3)</f>
        <v>链弹紫</v>
      </c>
      <c r="C171" s="3" t="str">
        <f t="shared" si="11"/>
        <v>Bullet105040</v>
      </c>
      <c r="D171" s="2">
        <f>VLOOKUP(O171,BulletType!A$2:N219,9)</f>
        <v>0</v>
      </c>
      <c r="E171" s="2">
        <f>VLOOKUP(O171,BulletType!A$2:N219,10)</f>
        <v>0</v>
      </c>
      <c r="F171" s="3" t="str">
        <f>CONCATENATE(VLOOKUP(O171,BulletType!A$2:I$35,8),VLOOKUP(P171,BulletColor!A$2:D$16,4))</f>
        <v>Bullet200030</v>
      </c>
      <c r="G171" s="3" t="str">
        <f>VLOOKUP(O171,BulletType!A$1:G$35,7)</f>
        <v>1.6,0.407</v>
      </c>
      <c r="H171" s="2">
        <f t="shared" si="9"/>
        <v>1</v>
      </c>
      <c r="I171">
        <f>VLOOKUP(O171,BulletType!A$1:F$35,3)</f>
        <v>1</v>
      </c>
      <c r="J171">
        <f>VLOOKUP(O171,BulletType!A$1:F$35,4)</f>
        <v>0</v>
      </c>
      <c r="K171">
        <f>VLOOKUP(O171,BulletType!A$1:F$35,5)</f>
        <v>4.8</v>
      </c>
      <c r="L171">
        <f>VLOOKUP(O171,BulletType!A$1:F$35,5)</f>
        <v>4.8</v>
      </c>
      <c r="M171">
        <f>VLOOKUP(O171,BulletType!A$1:F$35,6)</f>
        <v>2.4</v>
      </c>
      <c r="N171" s="3" t="str">
        <f>VLOOKUP(P171,BulletColor!A$2:B194,2)</f>
        <v>1,0.65,1</v>
      </c>
      <c r="O171">
        <v>5</v>
      </c>
      <c r="P171" s="2">
        <v>4</v>
      </c>
      <c r="Q171" s="2">
        <f t="shared" si="12"/>
        <v>1</v>
      </c>
    </row>
    <row r="172" spans="1:17" x14ac:dyDescent="0.2">
      <c r="A172" s="1">
        <f t="shared" si="10"/>
        <v>105050</v>
      </c>
      <c r="B172" s="3" t="str">
        <f>VLOOKUP(O172,BulletType!A$1:F$35,2)&amp;VLOOKUP(P172,BulletColor!A$1:C$25,3)</f>
        <v>链弹深蓝</v>
      </c>
      <c r="C172" s="3" t="str">
        <f t="shared" si="11"/>
        <v>Bullet105050</v>
      </c>
      <c r="D172" s="2">
        <f>VLOOKUP(O172,BulletType!A$2:N220,9)</f>
        <v>0</v>
      </c>
      <c r="E172" s="2">
        <f>VLOOKUP(O172,BulletType!A$2:N220,10)</f>
        <v>0</v>
      </c>
      <c r="F172" s="3" t="str">
        <f>CONCATENATE(VLOOKUP(O172,BulletType!A$2:I$35,8),VLOOKUP(P172,BulletColor!A$2:D$16,4))</f>
        <v>Bullet200050</v>
      </c>
      <c r="G172" s="3" t="str">
        <f>VLOOKUP(O172,BulletType!A$1:G$35,7)</f>
        <v>1.6,0.407</v>
      </c>
      <c r="H172" s="2">
        <f t="shared" si="9"/>
        <v>0</v>
      </c>
      <c r="I172">
        <f>VLOOKUP(O172,BulletType!A$1:F$35,3)</f>
        <v>1</v>
      </c>
      <c r="J172">
        <f>VLOOKUP(O172,BulletType!A$1:F$35,4)</f>
        <v>0</v>
      </c>
      <c r="K172">
        <f>VLOOKUP(O172,BulletType!A$1:F$35,5)</f>
        <v>4.8</v>
      </c>
      <c r="L172">
        <f>VLOOKUP(O172,BulletType!A$1:F$35,5)</f>
        <v>4.8</v>
      </c>
      <c r="M172">
        <f>VLOOKUP(O172,BulletType!A$1:F$35,6)</f>
        <v>2.4</v>
      </c>
      <c r="N172" s="3" t="str">
        <f>VLOOKUP(P172,BulletColor!A$2:B195,2)</f>
        <v>0,0.1,1</v>
      </c>
      <c r="O172">
        <v>5</v>
      </c>
      <c r="P172" s="2">
        <v>5</v>
      </c>
      <c r="Q172" s="2">
        <f t="shared" si="12"/>
        <v>0</v>
      </c>
    </row>
    <row r="173" spans="1:17" x14ac:dyDescent="0.2">
      <c r="A173" s="1">
        <f t="shared" si="10"/>
        <v>105051</v>
      </c>
      <c r="B173" s="3" t="str">
        <f>VLOOKUP(O173,BulletType!A$1:F$35,2)&amp;VLOOKUP(P173,BulletColor!A$1:C$25,3)</f>
        <v>链弹深蓝</v>
      </c>
      <c r="C173" s="3" t="str">
        <f t="shared" si="11"/>
        <v>Bullet105050</v>
      </c>
      <c r="D173" s="2">
        <f>VLOOKUP(O173,BulletType!A$2:N221,9)</f>
        <v>0</v>
      </c>
      <c r="E173" s="2">
        <f>VLOOKUP(O173,BulletType!A$2:N221,10)</f>
        <v>0</v>
      </c>
      <c r="F173" s="3" t="str">
        <f>CONCATENATE(VLOOKUP(O173,BulletType!A$2:I$35,8),VLOOKUP(P173,BulletColor!A$2:D$16,4))</f>
        <v>Bullet200050</v>
      </c>
      <c r="G173" s="3" t="str">
        <f>VLOOKUP(O173,BulletType!A$1:G$35,7)</f>
        <v>1.6,0.407</v>
      </c>
      <c r="H173" s="2">
        <f t="shared" si="9"/>
        <v>1</v>
      </c>
      <c r="I173">
        <f>VLOOKUP(O173,BulletType!A$1:F$35,3)</f>
        <v>1</v>
      </c>
      <c r="J173">
        <f>VLOOKUP(O173,BulletType!A$1:F$35,4)</f>
        <v>0</v>
      </c>
      <c r="K173">
        <f>VLOOKUP(O173,BulletType!A$1:F$35,5)</f>
        <v>4.8</v>
      </c>
      <c r="L173">
        <f>VLOOKUP(O173,BulletType!A$1:F$35,5)</f>
        <v>4.8</v>
      </c>
      <c r="M173">
        <f>VLOOKUP(O173,BulletType!A$1:F$35,6)</f>
        <v>2.4</v>
      </c>
      <c r="N173" s="3" t="str">
        <f>VLOOKUP(P173,BulletColor!A$2:B196,2)</f>
        <v>0,0.1,1</v>
      </c>
      <c r="O173">
        <v>5</v>
      </c>
      <c r="P173" s="2">
        <v>5</v>
      </c>
      <c r="Q173" s="2">
        <f t="shared" si="12"/>
        <v>1</v>
      </c>
    </row>
    <row r="174" spans="1:17" x14ac:dyDescent="0.2">
      <c r="A174" s="1">
        <f t="shared" si="10"/>
        <v>105060</v>
      </c>
      <c r="B174" s="3" t="str">
        <f>VLOOKUP(O174,BulletType!A$1:F$35,2)&amp;VLOOKUP(P174,BulletColor!A$1:C$25,3)</f>
        <v>链弹蓝</v>
      </c>
      <c r="C174" s="3" t="str">
        <f t="shared" si="11"/>
        <v>Bullet105060</v>
      </c>
      <c r="D174" s="2">
        <f>VLOOKUP(O174,BulletType!A$2:N222,9)</f>
        <v>0</v>
      </c>
      <c r="E174" s="2">
        <f>VLOOKUP(O174,BulletType!A$2:N222,10)</f>
        <v>0</v>
      </c>
      <c r="F174" s="3" t="str">
        <f>CONCATENATE(VLOOKUP(O174,BulletType!A$2:I$35,8),VLOOKUP(P174,BulletColor!A$2:D$16,4))</f>
        <v>Bullet200050</v>
      </c>
      <c r="G174" s="3" t="str">
        <f>VLOOKUP(O174,BulletType!A$1:G$35,7)</f>
        <v>1.6,0.407</v>
      </c>
      <c r="H174" s="2">
        <f t="shared" si="9"/>
        <v>0</v>
      </c>
      <c r="I174">
        <f>VLOOKUP(O174,BulletType!A$1:F$35,3)</f>
        <v>1</v>
      </c>
      <c r="J174">
        <f>VLOOKUP(O174,BulletType!A$1:F$35,4)</f>
        <v>0</v>
      </c>
      <c r="K174">
        <f>VLOOKUP(O174,BulletType!A$1:F$35,5)</f>
        <v>4.8</v>
      </c>
      <c r="L174">
        <f>VLOOKUP(O174,BulletType!A$1:F$35,5)</f>
        <v>4.8</v>
      </c>
      <c r="M174">
        <f>VLOOKUP(O174,BulletType!A$1:F$35,6)</f>
        <v>2.4</v>
      </c>
      <c r="N174" s="3" t="str">
        <f>VLOOKUP(P174,BulletColor!A$2:B197,2)</f>
        <v>0,0.1,1</v>
      </c>
      <c r="O174">
        <v>5</v>
      </c>
      <c r="P174" s="2">
        <v>6</v>
      </c>
      <c r="Q174" s="2">
        <f t="shared" si="12"/>
        <v>0</v>
      </c>
    </row>
    <row r="175" spans="1:17" x14ac:dyDescent="0.2">
      <c r="A175" s="1">
        <f t="shared" si="10"/>
        <v>105061</v>
      </c>
      <c r="B175" s="3" t="str">
        <f>VLOOKUP(O175,BulletType!A$1:F$35,2)&amp;VLOOKUP(P175,BulletColor!A$1:C$25,3)</f>
        <v>链弹蓝</v>
      </c>
      <c r="C175" s="3" t="str">
        <f t="shared" si="11"/>
        <v>Bullet105060</v>
      </c>
      <c r="D175" s="2">
        <f>VLOOKUP(O175,BulletType!A$2:N223,9)</f>
        <v>0</v>
      </c>
      <c r="E175" s="2">
        <f>VLOOKUP(O175,BulletType!A$2:N223,10)</f>
        <v>0</v>
      </c>
      <c r="F175" s="3" t="str">
        <f>CONCATENATE(VLOOKUP(O175,BulletType!A$2:I$35,8),VLOOKUP(P175,BulletColor!A$2:D$16,4))</f>
        <v>Bullet200050</v>
      </c>
      <c r="G175" s="3" t="str">
        <f>VLOOKUP(O175,BulletType!A$1:G$35,7)</f>
        <v>1.6,0.407</v>
      </c>
      <c r="H175" s="2">
        <f t="shared" si="9"/>
        <v>1</v>
      </c>
      <c r="I175">
        <f>VLOOKUP(O175,BulletType!A$1:F$35,3)</f>
        <v>1</v>
      </c>
      <c r="J175">
        <f>VLOOKUP(O175,BulletType!A$1:F$35,4)</f>
        <v>0</v>
      </c>
      <c r="K175">
        <f>VLOOKUP(O175,BulletType!A$1:F$35,5)</f>
        <v>4.8</v>
      </c>
      <c r="L175">
        <f>VLOOKUP(O175,BulletType!A$1:F$35,5)</f>
        <v>4.8</v>
      </c>
      <c r="M175">
        <f>VLOOKUP(O175,BulletType!A$1:F$35,6)</f>
        <v>2.4</v>
      </c>
      <c r="N175" s="3" t="str">
        <f>VLOOKUP(P175,BulletColor!A$2:B198,2)</f>
        <v>0,0.1,1</v>
      </c>
      <c r="O175">
        <v>5</v>
      </c>
      <c r="P175" s="2">
        <v>6</v>
      </c>
      <c r="Q175" s="2">
        <f t="shared" si="12"/>
        <v>1</v>
      </c>
    </row>
    <row r="176" spans="1:17" x14ac:dyDescent="0.2">
      <c r="A176" s="1">
        <f t="shared" si="10"/>
        <v>105070</v>
      </c>
      <c r="B176" s="3" t="str">
        <f>VLOOKUP(O176,BulletType!A$1:F$35,2)&amp;VLOOKUP(P176,BulletColor!A$1:C$25,3)</f>
        <v>链弹深青</v>
      </c>
      <c r="C176" s="3" t="str">
        <f t="shared" si="11"/>
        <v>Bullet105070</v>
      </c>
      <c r="D176" s="2">
        <f>VLOOKUP(O176,BulletType!A$2:N224,9)</f>
        <v>0</v>
      </c>
      <c r="E176" s="2">
        <f>VLOOKUP(O176,BulletType!A$2:N224,10)</f>
        <v>0</v>
      </c>
      <c r="F176" s="3" t="str">
        <f>CONCATENATE(VLOOKUP(O176,BulletType!A$2:I$35,8),VLOOKUP(P176,BulletColor!A$2:D$16,4))</f>
        <v>Bullet200070</v>
      </c>
      <c r="G176" s="3" t="str">
        <f>VLOOKUP(O176,BulletType!A$1:G$35,7)</f>
        <v>1.6,0.407</v>
      </c>
      <c r="H176" s="2">
        <f t="shared" si="9"/>
        <v>0</v>
      </c>
      <c r="I176">
        <f>VLOOKUP(O176,BulletType!A$1:F$35,3)</f>
        <v>1</v>
      </c>
      <c r="J176">
        <f>VLOOKUP(O176,BulletType!A$1:F$35,4)</f>
        <v>0</v>
      </c>
      <c r="K176">
        <f>VLOOKUP(O176,BulletType!A$1:F$35,5)</f>
        <v>4.8</v>
      </c>
      <c r="L176">
        <f>VLOOKUP(O176,BulletType!A$1:F$35,5)</f>
        <v>4.8</v>
      </c>
      <c r="M176">
        <f>VLOOKUP(O176,BulletType!A$1:F$35,6)</f>
        <v>2.4</v>
      </c>
      <c r="N176" s="3" t="str">
        <f>VLOOKUP(P176,BulletColor!A$2:B199,2)</f>
        <v>0.25,1,1</v>
      </c>
      <c r="O176">
        <v>5</v>
      </c>
      <c r="P176" s="2">
        <v>7</v>
      </c>
      <c r="Q176" s="2">
        <f t="shared" si="12"/>
        <v>0</v>
      </c>
    </row>
    <row r="177" spans="1:17" x14ac:dyDescent="0.2">
      <c r="A177" s="1">
        <f t="shared" si="10"/>
        <v>105071</v>
      </c>
      <c r="B177" s="3" t="str">
        <f>VLOOKUP(O177,BulletType!A$1:F$35,2)&amp;VLOOKUP(P177,BulletColor!A$1:C$25,3)</f>
        <v>链弹深青</v>
      </c>
      <c r="C177" s="3" t="str">
        <f t="shared" si="11"/>
        <v>Bullet105070</v>
      </c>
      <c r="D177" s="2">
        <f>VLOOKUP(O177,BulletType!A$2:N225,9)</f>
        <v>0</v>
      </c>
      <c r="E177" s="2">
        <f>VLOOKUP(O177,BulletType!A$2:N225,10)</f>
        <v>0</v>
      </c>
      <c r="F177" s="3" t="str">
        <f>CONCATENATE(VLOOKUP(O177,BulletType!A$2:I$35,8),VLOOKUP(P177,BulletColor!A$2:D$16,4))</f>
        <v>Bullet200070</v>
      </c>
      <c r="G177" s="3" t="str">
        <f>VLOOKUP(O177,BulletType!A$1:G$35,7)</f>
        <v>1.6,0.407</v>
      </c>
      <c r="H177" s="2">
        <f t="shared" si="9"/>
        <v>1</v>
      </c>
      <c r="I177">
        <f>VLOOKUP(O177,BulletType!A$1:F$35,3)</f>
        <v>1</v>
      </c>
      <c r="J177">
        <f>VLOOKUP(O177,BulletType!A$1:F$35,4)</f>
        <v>0</v>
      </c>
      <c r="K177">
        <f>VLOOKUP(O177,BulletType!A$1:F$35,5)</f>
        <v>4.8</v>
      </c>
      <c r="L177">
        <f>VLOOKUP(O177,BulletType!A$1:F$35,5)</f>
        <v>4.8</v>
      </c>
      <c r="M177">
        <f>VLOOKUP(O177,BulletType!A$1:F$35,6)</f>
        <v>2.4</v>
      </c>
      <c r="N177" s="3" t="str">
        <f>VLOOKUP(P177,BulletColor!A$2:B200,2)</f>
        <v>0.25,1,1</v>
      </c>
      <c r="O177">
        <v>5</v>
      </c>
      <c r="P177" s="2">
        <v>7</v>
      </c>
      <c r="Q177" s="2">
        <f t="shared" si="12"/>
        <v>1</v>
      </c>
    </row>
    <row r="178" spans="1:17" x14ac:dyDescent="0.2">
      <c r="A178" s="1">
        <f t="shared" si="10"/>
        <v>105080</v>
      </c>
      <c r="B178" s="3" t="str">
        <f>VLOOKUP(O178,BulletType!A$1:F$35,2)&amp;VLOOKUP(P178,BulletColor!A$1:C$25,3)</f>
        <v>链弹青</v>
      </c>
      <c r="C178" s="3" t="str">
        <f t="shared" si="11"/>
        <v>Bullet105080</v>
      </c>
      <c r="D178" s="2">
        <f>VLOOKUP(O178,BulletType!A$2:N226,9)</f>
        <v>0</v>
      </c>
      <c r="E178" s="2">
        <f>VLOOKUP(O178,BulletType!A$2:N226,10)</f>
        <v>0</v>
      </c>
      <c r="F178" s="3" t="str">
        <f>CONCATENATE(VLOOKUP(O178,BulletType!A$2:I$35,8),VLOOKUP(P178,BulletColor!A$2:D$16,4))</f>
        <v>Bullet200070</v>
      </c>
      <c r="G178" s="3" t="str">
        <f>VLOOKUP(O178,BulletType!A$1:G$35,7)</f>
        <v>1.6,0.407</v>
      </c>
      <c r="H178" s="2">
        <f t="shared" si="9"/>
        <v>0</v>
      </c>
      <c r="I178">
        <f>VLOOKUP(O178,BulletType!A$1:F$35,3)</f>
        <v>1</v>
      </c>
      <c r="J178">
        <f>VLOOKUP(O178,BulletType!A$1:F$35,4)</f>
        <v>0</v>
      </c>
      <c r="K178">
        <f>VLOOKUP(O178,BulletType!A$1:F$35,5)</f>
        <v>4.8</v>
      </c>
      <c r="L178">
        <f>VLOOKUP(O178,BulletType!A$1:F$35,5)</f>
        <v>4.8</v>
      </c>
      <c r="M178">
        <f>VLOOKUP(O178,BulletType!A$1:F$35,6)</f>
        <v>2.4</v>
      </c>
      <c r="N178" s="3" t="str">
        <f>VLOOKUP(P178,BulletColor!A$2:B201,2)</f>
        <v>0.25,1,1</v>
      </c>
      <c r="O178">
        <v>5</v>
      </c>
      <c r="P178" s="2">
        <v>8</v>
      </c>
      <c r="Q178" s="2">
        <f t="shared" si="12"/>
        <v>0</v>
      </c>
    </row>
    <row r="179" spans="1:17" x14ac:dyDescent="0.2">
      <c r="A179" s="1">
        <f t="shared" si="10"/>
        <v>105081</v>
      </c>
      <c r="B179" s="3" t="str">
        <f>VLOOKUP(O179,BulletType!A$1:F$35,2)&amp;VLOOKUP(P179,BulletColor!A$1:C$25,3)</f>
        <v>链弹青</v>
      </c>
      <c r="C179" s="3" t="str">
        <f t="shared" si="11"/>
        <v>Bullet105080</v>
      </c>
      <c r="D179" s="2">
        <f>VLOOKUP(O179,BulletType!A$2:N227,9)</f>
        <v>0</v>
      </c>
      <c r="E179" s="2">
        <f>VLOOKUP(O179,BulletType!A$2:N227,10)</f>
        <v>0</v>
      </c>
      <c r="F179" s="3" t="str">
        <f>CONCATENATE(VLOOKUP(O179,BulletType!A$2:I$35,8),VLOOKUP(P179,BulletColor!A$2:D$16,4))</f>
        <v>Bullet200070</v>
      </c>
      <c r="G179" s="3" t="str">
        <f>VLOOKUP(O179,BulletType!A$1:G$35,7)</f>
        <v>1.6,0.407</v>
      </c>
      <c r="H179" s="2">
        <f t="shared" si="9"/>
        <v>1</v>
      </c>
      <c r="I179">
        <f>VLOOKUP(O179,BulletType!A$1:F$35,3)</f>
        <v>1</v>
      </c>
      <c r="J179">
        <f>VLOOKUP(O179,BulletType!A$1:F$35,4)</f>
        <v>0</v>
      </c>
      <c r="K179">
        <f>VLOOKUP(O179,BulletType!A$1:F$35,5)</f>
        <v>4.8</v>
      </c>
      <c r="L179">
        <f>VLOOKUP(O179,BulletType!A$1:F$35,5)</f>
        <v>4.8</v>
      </c>
      <c r="M179">
        <f>VLOOKUP(O179,BulletType!A$1:F$35,6)</f>
        <v>2.4</v>
      </c>
      <c r="N179" s="3" t="str">
        <f>VLOOKUP(P179,BulletColor!A$2:B202,2)</f>
        <v>0.25,1,1</v>
      </c>
      <c r="O179">
        <v>5</v>
      </c>
      <c r="P179" s="2">
        <v>8</v>
      </c>
      <c r="Q179" s="2">
        <f t="shared" si="12"/>
        <v>1</v>
      </c>
    </row>
    <row r="180" spans="1:17" x14ac:dyDescent="0.2">
      <c r="A180" s="1">
        <f t="shared" si="10"/>
        <v>105090</v>
      </c>
      <c r="B180" s="3" t="str">
        <f>VLOOKUP(O180,BulletType!A$1:F$35,2)&amp;VLOOKUP(P180,BulletColor!A$1:C$25,3)</f>
        <v>链弹深绿</v>
      </c>
      <c r="C180" s="3" t="str">
        <f t="shared" si="11"/>
        <v>Bullet105090</v>
      </c>
      <c r="D180" s="2">
        <f>VLOOKUP(O180,BulletType!A$2:N228,9)</f>
        <v>0</v>
      </c>
      <c r="E180" s="2">
        <f>VLOOKUP(O180,BulletType!A$2:N228,10)</f>
        <v>0</v>
      </c>
      <c r="F180" s="3" t="str">
        <f>CONCATENATE(VLOOKUP(O180,BulletType!A$2:I$35,8),VLOOKUP(P180,BulletColor!A$2:D$16,4))</f>
        <v>Bullet200090</v>
      </c>
      <c r="G180" s="3" t="str">
        <f>VLOOKUP(O180,BulletType!A$1:G$35,7)</f>
        <v>1.6,0.407</v>
      </c>
      <c r="H180" s="2">
        <f t="shared" si="9"/>
        <v>0</v>
      </c>
      <c r="I180">
        <f>VLOOKUP(O180,BulletType!A$1:F$35,3)</f>
        <v>1</v>
      </c>
      <c r="J180">
        <f>VLOOKUP(O180,BulletType!A$1:F$35,4)</f>
        <v>0</v>
      </c>
      <c r="K180">
        <f>VLOOKUP(O180,BulletType!A$1:F$35,5)</f>
        <v>4.8</v>
      </c>
      <c r="L180">
        <f>VLOOKUP(O180,BulletType!A$1:F$35,5)</f>
        <v>4.8</v>
      </c>
      <c r="M180">
        <f>VLOOKUP(O180,BulletType!A$1:F$35,6)</f>
        <v>2.4</v>
      </c>
      <c r="N180" s="3" t="str">
        <f>VLOOKUP(P180,BulletColor!A$2:B203,2)</f>
        <v>0.36,0.78,1</v>
      </c>
      <c r="O180">
        <v>5</v>
      </c>
      <c r="P180" s="2">
        <v>9</v>
      </c>
      <c r="Q180" s="2">
        <f t="shared" si="12"/>
        <v>0</v>
      </c>
    </row>
    <row r="181" spans="1:17" x14ac:dyDescent="0.2">
      <c r="A181" s="1">
        <f t="shared" si="10"/>
        <v>105091</v>
      </c>
      <c r="B181" s="3" t="str">
        <f>VLOOKUP(O181,BulletType!A$1:F$35,2)&amp;VLOOKUP(P181,BulletColor!A$1:C$25,3)</f>
        <v>链弹深绿</v>
      </c>
      <c r="C181" s="3" t="str">
        <f t="shared" si="11"/>
        <v>Bullet105090</v>
      </c>
      <c r="D181" s="2">
        <f>VLOOKUP(O181,BulletType!A$2:N229,9)</f>
        <v>0</v>
      </c>
      <c r="E181" s="2">
        <f>VLOOKUP(O181,BulletType!A$2:N229,10)</f>
        <v>0</v>
      </c>
      <c r="F181" s="3" t="str">
        <f>CONCATENATE(VLOOKUP(O181,BulletType!A$2:I$35,8),VLOOKUP(P181,BulletColor!A$2:D$16,4))</f>
        <v>Bullet200090</v>
      </c>
      <c r="G181" s="3" t="str">
        <f>VLOOKUP(O181,BulletType!A$1:G$35,7)</f>
        <v>1.6,0.407</v>
      </c>
      <c r="H181" s="2">
        <f t="shared" si="9"/>
        <v>1</v>
      </c>
      <c r="I181">
        <f>VLOOKUP(O181,BulletType!A$1:F$35,3)</f>
        <v>1</v>
      </c>
      <c r="J181">
        <f>VLOOKUP(O181,BulletType!A$1:F$35,4)</f>
        <v>0</v>
      </c>
      <c r="K181">
        <f>VLOOKUP(O181,BulletType!A$1:F$35,5)</f>
        <v>4.8</v>
      </c>
      <c r="L181">
        <f>VLOOKUP(O181,BulletType!A$1:F$35,5)</f>
        <v>4.8</v>
      </c>
      <c r="M181">
        <f>VLOOKUP(O181,BulletType!A$1:F$35,6)</f>
        <v>2.4</v>
      </c>
      <c r="N181" s="3" t="str">
        <f>VLOOKUP(P181,BulletColor!A$2:B204,2)</f>
        <v>0.36,0.78,1</v>
      </c>
      <c r="O181">
        <v>5</v>
      </c>
      <c r="P181" s="2">
        <v>9</v>
      </c>
      <c r="Q181" s="2">
        <f t="shared" si="12"/>
        <v>1</v>
      </c>
    </row>
    <row r="182" spans="1:17" x14ac:dyDescent="0.2">
      <c r="A182" s="1">
        <f t="shared" si="10"/>
        <v>105100</v>
      </c>
      <c r="B182" s="3" t="str">
        <f>VLOOKUP(O182,BulletType!A$1:F$35,2)&amp;VLOOKUP(P182,BulletColor!A$1:C$25,3)</f>
        <v>链弹绿</v>
      </c>
      <c r="C182" s="3" t="str">
        <f t="shared" si="11"/>
        <v>Bullet105100</v>
      </c>
      <c r="D182" s="2">
        <f>VLOOKUP(O182,BulletType!A$2:N230,9)</f>
        <v>0</v>
      </c>
      <c r="E182" s="2">
        <f>VLOOKUP(O182,BulletType!A$2:N230,10)</f>
        <v>0</v>
      </c>
      <c r="F182" s="3" t="str">
        <f>CONCATENATE(VLOOKUP(O182,BulletType!A$2:I$35,8),VLOOKUP(P182,BulletColor!A$2:D$16,4))</f>
        <v>Bullet200090</v>
      </c>
      <c r="G182" s="3" t="str">
        <f>VLOOKUP(O182,BulletType!A$1:G$35,7)</f>
        <v>1.6,0.407</v>
      </c>
      <c r="H182" s="2">
        <f t="shared" si="9"/>
        <v>0</v>
      </c>
      <c r="I182">
        <f>VLOOKUP(O182,BulletType!A$1:F$35,3)</f>
        <v>1</v>
      </c>
      <c r="J182">
        <f>VLOOKUP(O182,BulletType!A$1:F$35,4)</f>
        <v>0</v>
      </c>
      <c r="K182">
        <f>VLOOKUP(O182,BulletType!A$1:F$35,5)</f>
        <v>4.8</v>
      </c>
      <c r="L182">
        <f>VLOOKUP(O182,BulletType!A$1:F$35,5)</f>
        <v>4.8</v>
      </c>
      <c r="M182">
        <f>VLOOKUP(O182,BulletType!A$1:F$35,6)</f>
        <v>2.4</v>
      </c>
      <c r="N182" s="3" t="str">
        <f>VLOOKUP(P182,BulletColor!A$2:B205,2)</f>
        <v>0.36,0.78,1</v>
      </c>
      <c r="O182">
        <v>5</v>
      </c>
      <c r="P182" s="2">
        <v>10</v>
      </c>
      <c r="Q182" s="2">
        <f t="shared" si="12"/>
        <v>0</v>
      </c>
    </row>
    <row r="183" spans="1:17" x14ac:dyDescent="0.2">
      <c r="A183" s="1">
        <f t="shared" si="10"/>
        <v>105101</v>
      </c>
      <c r="B183" s="3" t="str">
        <f>VLOOKUP(O183,BulletType!A$1:F$35,2)&amp;VLOOKUP(P183,BulletColor!A$1:C$25,3)</f>
        <v>链弹绿</v>
      </c>
      <c r="C183" s="3" t="str">
        <f t="shared" si="11"/>
        <v>Bullet105100</v>
      </c>
      <c r="D183" s="2">
        <f>VLOOKUP(O183,BulletType!A$2:N231,9)</f>
        <v>0</v>
      </c>
      <c r="E183" s="2">
        <f>VLOOKUP(O183,BulletType!A$2:N231,10)</f>
        <v>0</v>
      </c>
      <c r="F183" s="3" t="str">
        <f>CONCATENATE(VLOOKUP(O183,BulletType!A$2:I$35,8),VLOOKUP(P183,BulletColor!A$2:D$16,4))</f>
        <v>Bullet200090</v>
      </c>
      <c r="G183" s="3" t="str">
        <f>VLOOKUP(O183,BulletType!A$1:G$35,7)</f>
        <v>1.6,0.407</v>
      </c>
      <c r="H183" s="2">
        <f t="shared" si="9"/>
        <v>1</v>
      </c>
      <c r="I183">
        <f>VLOOKUP(O183,BulletType!A$1:F$35,3)</f>
        <v>1</v>
      </c>
      <c r="J183">
        <f>VLOOKUP(O183,BulletType!A$1:F$35,4)</f>
        <v>0</v>
      </c>
      <c r="K183">
        <f>VLOOKUP(O183,BulletType!A$1:F$35,5)</f>
        <v>4.8</v>
      </c>
      <c r="L183">
        <f>VLOOKUP(O183,BulletType!A$1:F$35,5)</f>
        <v>4.8</v>
      </c>
      <c r="M183">
        <f>VLOOKUP(O183,BulletType!A$1:F$35,6)</f>
        <v>2.4</v>
      </c>
      <c r="N183" s="3" t="str">
        <f>VLOOKUP(P183,BulletColor!A$2:B206,2)</f>
        <v>0.36,0.78,1</v>
      </c>
      <c r="O183">
        <v>5</v>
      </c>
      <c r="P183" s="2">
        <v>10</v>
      </c>
      <c r="Q183" s="2">
        <f t="shared" si="12"/>
        <v>1</v>
      </c>
    </row>
    <row r="184" spans="1:17" x14ac:dyDescent="0.2">
      <c r="A184" s="1">
        <f t="shared" si="10"/>
        <v>105110</v>
      </c>
      <c r="B184" s="3" t="str">
        <f>VLOOKUP(O184,BulletType!A$1:F$35,2)&amp;VLOOKUP(P184,BulletColor!A$1:C$25,3)</f>
        <v>链弹黄绿</v>
      </c>
      <c r="C184" s="3" t="str">
        <f t="shared" si="11"/>
        <v>Bullet105110</v>
      </c>
      <c r="D184" s="2">
        <f>VLOOKUP(O184,BulletType!A$2:N232,9)</f>
        <v>0</v>
      </c>
      <c r="E184" s="2">
        <f>VLOOKUP(O184,BulletType!A$2:N232,10)</f>
        <v>0</v>
      </c>
      <c r="F184" s="3" t="str">
        <f>CONCATENATE(VLOOKUP(O184,BulletType!A$2:I$35,8),VLOOKUP(P184,BulletColor!A$2:D$16,4))</f>
        <v>Bullet200090</v>
      </c>
      <c r="G184" s="3" t="str">
        <f>VLOOKUP(O184,BulletType!A$1:G$35,7)</f>
        <v>1.6,0.407</v>
      </c>
      <c r="H184" s="2">
        <f t="shared" si="9"/>
        <v>0</v>
      </c>
      <c r="I184">
        <f>VLOOKUP(O184,BulletType!A$1:F$35,3)</f>
        <v>1</v>
      </c>
      <c r="J184">
        <f>VLOOKUP(O184,BulletType!A$1:F$35,4)</f>
        <v>0</v>
      </c>
      <c r="K184">
        <f>VLOOKUP(O184,BulletType!A$1:F$35,5)</f>
        <v>4.8</v>
      </c>
      <c r="L184">
        <f>VLOOKUP(O184,BulletType!A$1:F$35,5)</f>
        <v>4.8</v>
      </c>
      <c r="M184">
        <f>VLOOKUP(O184,BulletType!A$1:F$35,6)</f>
        <v>2.4</v>
      </c>
      <c r="N184" s="3" t="str">
        <f>VLOOKUP(P184,BulletColor!A$2:B207,2)</f>
        <v>0.9,1,0.4</v>
      </c>
      <c r="O184">
        <v>5</v>
      </c>
      <c r="P184" s="2">
        <v>11</v>
      </c>
      <c r="Q184" s="2">
        <f t="shared" si="12"/>
        <v>0</v>
      </c>
    </row>
    <row r="185" spans="1:17" x14ac:dyDescent="0.2">
      <c r="A185" s="1">
        <f t="shared" si="10"/>
        <v>105111</v>
      </c>
      <c r="B185" s="3" t="str">
        <f>VLOOKUP(O185,BulletType!A$1:F$35,2)&amp;VLOOKUP(P185,BulletColor!A$1:C$25,3)</f>
        <v>链弹黄绿</v>
      </c>
      <c r="C185" s="3" t="str">
        <f t="shared" si="11"/>
        <v>Bullet105110</v>
      </c>
      <c r="D185" s="2">
        <f>VLOOKUP(O185,BulletType!A$2:N233,9)</f>
        <v>0</v>
      </c>
      <c r="E185" s="2">
        <f>VLOOKUP(O185,BulletType!A$2:N233,10)</f>
        <v>0</v>
      </c>
      <c r="F185" s="3" t="str">
        <f>CONCATENATE(VLOOKUP(O185,BulletType!A$2:I$35,8),VLOOKUP(P185,BulletColor!A$2:D$16,4))</f>
        <v>Bullet200090</v>
      </c>
      <c r="G185" s="3" t="str">
        <f>VLOOKUP(O185,BulletType!A$1:G$35,7)</f>
        <v>1.6,0.407</v>
      </c>
      <c r="H185" s="2">
        <f t="shared" si="9"/>
        <v>1</v>
      </c>
      <c r="I185">
        <f>VLOOKUP(O185,BulletType!A$1:F$35,3)</f>
        <v>1</v>
      </c>
      <c r="J185">
        <f>VLOOKUP(O185,BulletType!A$1:F$35,4)</f>
        <v>0</v>
      </c>
      <c r="K185">
        <f>VLOOKUP(O185,BulletType!A$1:F$35,5)</f>
        <v>4.8</v>
      </c>
      <c r="L185">
        <f>VLOOKUP(O185,BulletType!A$1:F$35,5)</f>
        <v>4.8</v>
      </c>
      <c r="M185">
        <f>VLOOKUP(O185,BulletType!A$1:F$35,6)</f>
        <v>2.4</v>
      </c>
      <c r="N185" s="3" t="str">
        <f>VLOOKUP(P185,BulletColor!A$2:B208,2)</f>
        <v>0.9,1,0.4</v>
      </c>
      <c r="O185">
        <v>5</v>
      </c>
      <c r="P185" s="2">
        <v>11</v>
      </c>
      <c r="Q185" s="2">
        <f t="shared" si="12"/>
        <v>1</v>
      </c>
    </row>
    <row r="186" spans="1:17" x14ac:dyDescent="0.2">
      <c r="A186" s="1">
        <f t="shared" si="10"/>
        <v>105120</v>
      </c>
      <c r="B186" s="3" t="str">
        <f>VLOOKUP(O186,BulletType!A$1:F$35,2)&amp;VLOOKUP(P186,BulletColor!A$1:C$25,3)</f>
        <v>链弹深黄</v>
      </c>
      <c r="C186" s="3" t="str">
        <f t="shared" si="11"/>
        <v>Bullet105120</v>
      </c>
      <c r="D186" s="2">
        <f>VLOOKUP(O186,BulletType!A$2:N234,9)</f>
        <v>0</v>
      </c>
      <c r="E186" s="2">
        <f>VLOOKUP(O186,BulletType!A$2:N234,10)</f>
        <v>0</v>
      </c>
      <c r="F186" s="3" t="str">
        <f>CONCATENATE(VLOOKUP(O186,BulletType!A$2:I$35,8),VLOOKUP(P186,BulletColor!A$2:D$16,4))</f>
        <v>Bullet200090</v>
      </c>
      <c r="G186" s="3" t="str">
        <f>VLOOKUP(O186,BulletType!A$1:G$35,7)</f>
        <v>1.6,0.407</v>
      </c>
      <c r="H186" s="2">
        <f t="shared" si="9"/>
        <v>0</v>
      </c>
      <c r="I186">
        <f>VLOOKUP(O186,BulletType!A$1:F$35,3)</f>
        <v>1</v>
      </c>
      <c r="J186">
        <f>VLOOKUP(O186,BulletType!A$1:F$35,4)</f>
        <v>0</v>
      </c>
      <c r="K186">
        <f>VLOOKUP(O186,BulletType!A$1:F$35,5)</f>
        <v>4.8</v>
      </c>
      <c r="L186">
        <f>VLOOKUP(O186,BulletType!A$1:F$35,5)</f>
        <v>4.8</v>
      </c>
      <c r="M186">
        <f>VLOOKUP(O186,BulletType!A$1:F$35,6)</f>
        <v>2.4</v>
      </c>
      <c r="N186" s="3" t="str">
        <f>VLOOKUP(P186,BulletColor!A$2:B209,2)</f>
        <v>0.9,1,0.4</v>
      </c>
      <c r="O186">
        <v>5</v>
      </c>
      <c r="P186" s="2">
        <v>12</v>
      </c>
      <c r="Q186" s="2">
        <f t="shared" si="12"/>
        <v>0</v>
      </c>
    </row>
    <row r="187" spans="1:17" x14ac:dyDescent="0.2">
      <c r="A187" s="1">
        <f t="shared" si="10"/>
        <v>105121</v>
      </c>
      <c r="B187" s="3" t="str">
        <f>VLOOKUP(O187,BulletType!A$1:F$35,2)&amp;VLOOKUP(P187,BulletColor!A$1:C$25,3)</f>
        <v>链弹深黄</v>
      </c>
      <c r="C187" s="3" t="str">
        <f t="shared" si="11"/>
        <v>Bullet105120</v>
      </c>
      <c r="D187" s="2">
        <f>VLOOKUP(O187,BulletType!A$2:N235,9)</f>
        <v>0</v>
      </c>
      <c r="E187" s="2">
        <f>VLOOKUP(O187,BulletType!A$2:N235,10)</f>
        <v>0</v>
      </c>
      <c r="F187" s="3" t="str">
        <f>CONCATENATE(VLOOKUP(O187,BulletType!A$2:I$35,8),VLOOKUP(P187,BulletColor!A$2:D$16,4))</f>
        <v>Bullet200090</v>
      </c>
      <c r="G187" s="3" t="str">
        <f>VLOOKUP(O187,BulletType!A$1:G$35,7)</f>
        <v>1.6,0.407</v>
      </c>
      <c r="H187" s="2">
        <f t="shared" si="9"/>
        <v>1</v>
      </c>
      <c r="I187">
        <f>VLOOKUP(O187,BulletType!A$1:F$35,3)</f>
        <v>1</v>
      </c>
      <c r="J187">
        <f>VLOOKUP(O187,BulletType!A$1:F$35,4)</f>
        <v>0</v>
      </c>
      <c r="K187">
        <f>VLOOKUP(O187,BulletType!A$1:F$35,5)</f>
        <v>4.8</v>
      </c>
      <c r="L187">
        <f>VLOOKUP(O187,BulletType!A$1:F$35,5)</f>
        <v>4.8</v>
      </c>
      <c r="M187">
        <f>VLOOKUP(O187,BulletType!A$1:F$35,6)</f>
        <v>2.4</v>
      </c>
      <c r="N187" s="3" t="str">
        <f>VLOOKUP(P187,BulletColor!A$2:B210,2)</f>
        <v>0.9,1,0.4</v>
      </c>
      <c r="O187">
        <v>5</v>
      </c>
      <c r="P187" s="2">
        <v>12</v>
      </c>
      <c r="Q187" s="2">
        <f t="shared" si="12"/>
        <v>1</v>
      </c>
    </row>
    <row r="188" spans="1:17" x14ac:dyDescent="0.2">
      <c r="A188" s="1">
        <f t="shared" si="10"/>
        <v>105130</v>
      </c>
      <c r="B188" s="3" t="str">
        <f>VLOOKUP(O188,BulletType!A$1:F$35,2)&amp;VLOOKUP(P188,BulletColor!A$1:C$25,3)</f>
        <v>链弹浅黄</v>
      </c>
      <c r="C188" s="3" t="str">
        <f t="shared" si="11"/>
        <v>Bullet105130</v>
      </c>
      <c r="D188" s="2">
        <f>VLOOKUP(O188,BulletType!A$2:N236,9)</f>
        <v>0</v>
      </c>
      <c r="E188" s="2">
        <f>VLOOKUP(O188,BulletType!A$2:N236,10)</f>
        <v>0</v>
      </c>
      <c r="F188" s="3" t="str">
        <f>CONCATENATE(VLOOKUP(O188,BulletType!A$2:I$35,8),VLOOKUP(P188,BulletColor!A$2:D$16,4))</f>
        <v>Bullet200130</v>
      </c>
      <c r="G188" s="3" t="str">
        <f>VLOOKUP(O188,BulletType!A$1:G$35,7)</f>
        <v>1.6,0.407</v>
      </c>
      <c r="H188" s="2">
        <f t="shared" si="9"/>
        <v>0</v>
      </c>
      <c r="I188">
        <f>VLOOKUP(O188,BulletType!A$1:F$35,3)</f>
        <v>1</v>
      </c>
      <c r="J188">
        <f>VLOOKUP(O188,BulletType!A$1:F$35,4)</f>
        <v>0</v>
      </c>
      <c r="K188">
        <f>VLOOKUP(O188,BulletType!A$1:F$35,5)</f>
        <v>4.8</v>
      </c>
      <c r="L188">
        <f>VLOOKUP(O188,BulletType!A$1:F$35,5)</f>
        <v>4.8</v>
      </c>
      <c r="M188">
        <f>VLOOKUP(O188,BulletType!A$1:F$35,6)</f>
        <v>2.4</v>
      </c>
      <c r="N188" s="3" t="str">
        <f>VLOOKUP(P188,BulletColor!A$2:B211,2)</f>
        <v>0.9,1,0.4</v>
      </c>
      <c r="O188">
        <v>5</v>
      </c>
      <c r="P188" s="2">
        <v>13</v>
      </c>
      <c r="Q188" s="2">
        <f t="shared" si="12"/>
        <v>0</v>
      </c>
    </row>
    <row r="189" spans="1:17" x14ac:dyDescent="0.2">
      <c r="A189" s="1">
        <f t="shared" si="10"/>
        <v>105131</v>
      </c>
      <c r="B189" s="3" t="str">
        <f>VLOOKUP(O189,BulletType!A$1:F$35,2)&amp;VLOOKUP(P189,BulletColor!A$1:C$25,3)</f>
        <v>链弹浅黄</v>
      </c>
      <c r="C189" s="3" t="str">
        <f t="shared" si="11"/>
        <v>Bullet105130</v>
      </c>
      <c r="D189" s="2">
        <f>VLOOKUP(O189,BulletType!A$2:N237,9)</f>
        <v>0</v>
      </c>
      <c r="E189" s="2">
        <f>VLOOKUP(O189,BulletType!A$2:N237,10)</f>
        <v>0</v>
      </c>
      <c r="F189" s="3" t="str">
        <f>CONCATENATE(VLOOKUP(O189,BulletType!A$2:I$35,8),VLOOKUP(P189,BulletColor!A$2:D$16,4))</f>
        <v>Bullet200130</v>
      </c>
      <c r="G189" s="3" t="str">
        <f>VLOOKUP(O189,BulletType!A$1:G$35,7)</f>
        <v>1.6,0.407</v>
      </c>
      <c r="H189" s="2">
        <f t="shared" si="9"/>
        <v>1</v>
      </c>
      <c r="I189">
        <f>VLOOKUP(O189,BulletType!A$1:F$35,3)</f>
        <v>1</v>
      </c>
      <c r="J189">
        <f>VLOOKUP(O189,BulletType!A$1:F$35,4)</f>
        <v>0</v>
      </c>
      <c r="K189">
        <f>VLOOKUP(O189,BulletType!A$1:F$35,5)</f>
        <v>4.8</v>
      </c>
      <c r="L189">
        <f>VLOOKUP(O189,BulletType!A$1:F$35,5)</f>
        <v>4.8</v>
      </c>
      <c r="M189">
        <f>VLOOKUP(O189,BulletType!A$1:F$35,6)</f>
        <v>2.4</v>
      </c>
      <c r="N189" s="3" t="str">
        <f>VLOOKUP(P189,BulletColor!A$2:B212,2)</f>
        <v>0.9,1,0.4</v>
      </c>
      <c r="O189">
        <v>5</v>
      </c>
      <c r="P189" s="2">
        <v>13</v>
      </c>
      <c r="Q189" s="2">
        <f t="shared" si="12"/>
        <v>1</v>
      </c>
    </row>
    <row r="190" spans="1:17" x14ac:dyDescent="0.2">
      <c r="A190" s="1">
        <f t="shared" si="10"/>
        <v>105140</v>
      </c>
      <c r="B190" s="3" t="str">
        <f>VLOOKUP(O190,BulletType!A$1:F$35,2)&amp;VLOOKUP(P190,BulletColor!A$1:C$25,3)</f>
        <v>链弹棕黄</v>
      </c>
      <c r="C190" s="3" t="str">
        <f t="shared" si="11"/>
        <v>Bullet105140</v>
      </c>
      <c r="D190" s="2">
        <f>VLOOKUP(O190,BulletType!A$2:N238,9)</f>
        <v>0</v>
      </c>
      <c r="E190" s="2">
        <f>VLOOKUP(O190,BulletType!A$2:N238,10)</f>
        <v>0</v>
      </c>
      <c r="F190" s="3" t="str">
        <f>CONCATENATE(VLOOKUP(O190,BulletType!A$2:I$35,8),VLOOKUP(P190,BulletColor!A$2:D$16,4))</f>
        <v>Bullet200130</v>
      </c>
      <c r="G190" s="3" t="str">
        <f>VLOOKUP(O190,BulletType!A$1:G$35,7)</f>
        <v>1.6,0.407</v>
      </c>
      <c r="H190" s="2">
        <f t="shared" si="9"/>
        <v>0</v>
      </c>
      <c r="I190">
        <f>VLOOKUP(O190,BulletType!A$1:F$35,3)</f>
        <v>1</v>
      </c>
      <c r="J190">
        <f>VLOOKUP(O190,BulletType!A$1:F$35,4)</f>
        <v>0</v>
      </c>
      <c r="K190">
        <f>VLOOKUP(O190,BulletType!A$1:F$35,5)</f>
        <v>4.8</v>
      </c>
      <c r="L190">
        <f>VLOOKUP(O190,BulletType!A$1:F$35,5)</f>
        <v>4.8</v>
      </c>
      <c r="M190">
        <f>VLOOKUP(O190,BulletType!A$1:F$35,6)</f>
        <v>2.4</v>
      </c>
      <c r="N190" s="3" t="str">
        <f>VLOOKUP(P190,BulletColor!A$2:B213,2)</f>
        <v>0.9,1,0.4</v>
      </c>
      <c r="O190">
        <v>5</v>
      </c>
      <c r="P190" s="2">
        <v>14</v>
      </c>
      <c r="Q190" s="2">
        <f t="shared" si="12"/>
        <v>0</v>
      </c>
    </row>
    <row r="191" spans="1:17" x14ac:dyDescent="0.2">
      <c r="A191" s="1">
        <f t="shared" si="10"/>
        <v>105141</v>
      </c>
      <c r="B191" s="3" t="str">
        <f>VLOOKUP(O191,BulletType!A$1:F$35,2)&amp;VLOOKUP(P191,BulletColor!A$1:C$25,3)</f>
        <v>链弹棕黄</v>
      </c>
      <c r="C191" s="3" t="str">
        <f t="shared" si="11"/>
        <v>Bullet105140</v>
      </c>
      <c r="D191" s="2">
        <f>VLOOKUP(O191,BulletType!A$2:N239,9)</f>
        <v>0</v>
      </c>
      <c r="E191" s="2">
        <f>VLOOKUP(O191,BulletType!A$2:N239,10)</f>
        <v>0</v>
      </c>
      <c r="F191" s="3" t="str">
        <f>CONCATENATE(VLOOKUP(O191,BulletType!A$2:I$35,8),VLOOKUP(P191,BulletColor!A$2:D$16,4))</f>
        <v>Bullet200130</v>
      </c>
      <c r="G191" s="3" t="str">
        <f>VLOOKUP(O191,BulletType!A$1:G$35,7)</f>
        <v>1.6,0.407</v>
      </c>
      <c r="H191" s="2">
        <f t="shared" si="9"/>
        <v>1</v>
      </c>
      <c r="I191">
        <f>VLOOKUP(O191,BulletType!A$1:F$35,3)</f>
        <v>1</v>
      </c>
      <c r="J191">
        <f>VLOOKUP(O191,BulletType!A$1:F$35,4)</f>
        <v>0</v>
      </c>
      <c r="K191">
        <f>VLOOKUP(O191,BulletType!A$1:F$35,5)</f>
        <v>4.8</v>
      </c>
      <c r="L191">
        <f>VLOOKUP(O191,BulletType!A$1:F$35,5)</f>
        <v>4.8</v>
      </c>
      <c r="M191">
        <f>VLOOKUP(O191,BulletType!A$1:F$35,6)</f>
        <v>2.4</v>
      </c>
      <c r="N191" s="3" t="str">
        <f>VLOOKUP(P191,BulletColor!A$2:B214,2)</f>
        <v>0.9,1,0.4</v>
      </c>
      <c r="O191">
        <v>5</v>
      </c>
      <c r="P191" s="2">
        <v>14</v>
      </c>
      <c r="Q191" s="2">
        <f t="shared" si="12"/>
        <v>1</v>
      </c>
    </row>
    <row r="192" spans="1:17" x14ac:dyDescent="0.2">
      <c r="A192" s="1">
        <f t="shared" si="10"/>
        <v>105150</v>
      </c>
      <c r="B192" s="3" t="str">
        <f>VLOOKUP(O192,BulletType!A$1:F$35,2)&amp;VLOOKUP(P192,BulletColor!A$1:C$25,3)</f>
        <v>链弹白</v>
      </c>
      <c r="C192" s="3" t="str">
        <f t="shared" si="11"/>
        <v>Bullet105150</v>
      </c>
      <c r="D192" s="2">
        <f>VLOOKUP(O192,BulletType!A$2:N240,9)</f>
        <v>0</v>
      </c>
      <c r="E192" s="2">
        <f>VLOOKUP(O192,BulletType!A$2:N240,10)</f>
        <v>0</v>
      </c>
      <c r="F192" s="3" t="str">
        <f>CONCATENATE(VLOOKUP(O192,BulletType!A$2:I$35,8),VLOOKUP(P192,BulletColor!A$2:D$16,4))</f>
        <v>Bullet200130</v>
      </c>
      <c r="G192" s="3" t="str">
        <f>VLOOKUP(O192,BulletType!A$1:G$35,7)</f>
        <v>1.6,0.407</v>
      </c>
      <c r="H192" s="2">
        <f t="shared" si="9"/>
        <v>0</v>
      </c>
      <c r="I192">
        <f>VLOOKUP(O192,BulletType!A$1:F$35,3)</f>
        <v>1</v>
      </c>
      <c r="J192">
        <f>VLOOKUP(O192,BulletType!A$1:F$35,4)</f>
        <v>0</v>
      </c>
      <c r="K192">
        <f>VLOOKUP(O192,BulletType!A$1:F$35,5)</f>
        <v>4.8</v>
      </c>
      <c r="L192">
        <f>VLOOKUP(O192,BulletType!A$1:F$35,5)</f>
        <v>4.8</v>
      </c>
      <c r="M192">
        <f>VLOOKUP(O192,BulletType!A$1:F$35,6)</f>
        <v>2.4</v>
      </c>
      <c r="N192" s="3" t="str">
        <f>VLOOKUP(P192,BulletColor!A$2:B215,2)</f>
        <v>0.8,0.8,0.8</v>
      </c>
      <c r="O192">
        <v>5</v>
      </c>
      <c r="P192" s="2">
        <v>15</v>
      </c>
      <c r="Q192" s="2">
        <f t="shared" si="12"/>
        <v>0</v>
      </c>
    </row>
    <row r="193" spans="1:17" x14ac:dyDescent="0.2">
      <c r="A193" s="1">
        <f t="shared" si="10"/>
        <v>105151</v>
      </c>
      <c r="B193" s="3" t="str">
        <f>VLOOKUP(O193,BulletType!A$1:F$35,2)&amp;VLOOKUP(P193,BulletColor!A$1:C$25,3)</f>
        <v>链弹白</v>
      </c>
      <c r="C193" s="3" t="str">
        <f t="shared" si="11"/>
        <v>Bullet105150</v>
      </c>
      <c r="D193" s="2">
        <f>VLOOKUP(O193,BulletType!A$2:N241,9)</f>
        <v>0</v>
      </c>
      <c r="E193" s="2">
        <f>VLOOKUP(O193,BulletType!A$2:N241,10)</f>
        <v>0</v>
      </c>
      <c r="F193" s="3" t="str">
        <f>CONCATENATE(VLOOKUP(O193,BulletType!A$2:I$35,8),VLOOKUP(P193,BulletColor!A$2:D$16,4))</f>
        <v>Bullet200130</v>
      </c>
      <c r="G193" s="3" t="str">
        <f>VLOOKUP(O193,BulletType!A$1:G$35,7)</f>
        <v>1.6,0.407</v>
      </c>
      <c r="H193" s="2">
        <f t="shared" si="9"/>
        <v>1</v>
      </c>
      <c r="I193">
        <f>VLOOKUP(O193,BulletType!A$1:F$35,3)</f>
        <v>1</v>
      </c>
      <c r="J193">
        <f>VLOOKUP(O193,BulletType!A$1:F$35,4)</f>
        <v>0</v>
      </c>
      <c r="K193">
        <f>VLOOKUP(O193,BulletType!A$1:F$35,5)</f>
        <v>4.8</v>
      </c>
      <c r="L193">
        <f>VLOOKUP(O193,BulletType!A$1:F$35,5)</f>
        <v>4.8</v>
      </c>
      <c r="M193">
        <f>VLOOKUP(O193,BulletType!A$1:F$35,6)</f>
        <v>2.4</v>
      </c>
      <c r="N193" s="3" t="str">
        <f>VLOOKUP(P193,BulletColor!A$2:B216,2)</f>
        <v>0.8,0.8,0.8</v>
      </c>
      <c r="O193">
        <v>5</v>
      </c>
      <c r="P193" s="2">
        <v>15</v>
      </c>
      <c r="Q193" s="2">
        <f t="shared" si="12"/>
        <v>1</v>
      </c>
    </row>
    <row r="194" spans="1:17" x14ac:dyDescent="0.2">
      <c r="A194" s="1">
        <f t="shared" si="10"/>
        <v>106000</v>
      </c>
      <c r="B194" s="3" t="str">
        <f>VLOOKUP(O194,BulletType!A$1:F$35,2)&amp;VLOOKUP(P194,BulletColor!A$1:C$25,3)</f>
        <v>针弹灰</v>
      </c>
      <c r="C194" s="3" t="str">
        <f t="shared" si="11"/>
        <v>Bullet106000</v>
      </c>
      <c r="D194" s="2">
        <f>VLOOKUP(O194,BulletType!A$2:N242,9)</f>
        <v>0</v>
      </c>
      <c r="E194" s="2">
        <f>VLOOKUP(O194,BulletType!A$2:N242,10)</f>
        <v>0</v>
      </c>
      <c r="F194" s="3" t="str">
        <f>CONCATENATE(VLOOKUP(O194,BulletType!A$2:I$35,8),VLOOKUP(P194,BulletColor!A$2:D$16,4))</f>
        <v>Bullet200000</v>
      </c>
      <c r="G194" s="3" t="str">
        <f>VLOOKUP(O194,BulletType!A$1:G$35,7)</f>
        <v>1.6,0.404</v>
      </c>
      <c r="H194" s="2">
        <f t="shared" ref="H194:H257" si="13">INT(Q194)</f>
        <v>0</v>
      </c>
      <c r="I194">
        <f>VLOOKUP(O194,BulletType!A$1:F$35,3)</f>
        <v>1</v>
      </c>
      <c r="J194">
        <f>VLOOKUP(O194,BulletType!A$1:F$35,4)</f>
        <v>0</v>
      </c>
      <c r="K194">
        <f>VLOOKUP(O194,BulletType!A$1:F$35,5)</f>
        <v>4.8</v>
      </c>
      <c r="L194">
        <f>VLOOKUP(O194,BulletType!A$1:F$35,5)</f>
        <v>4.8</v>
      </c>
      <c r="M194">
        <f>VLOOKUP(O194,BulletType!A$1:F$35,6)</f>
        <v>2.4</v>
      </c>
      <c r="N194" s="3" t="str">
        <f>VLOOKUP(P194,BulletColor!A$2:B217,2)</f>
        <v>0.5,0.5,0.5</v>
      </c>
      <c r="O194">
        <v>6</v>
      </c>
      <c r="P194" s="2">
        <v>0</v>
      </c>
      <c r="Q194" s="2">
        <f t="shared" si="12"/>
        <v>0</v>
      </c>
    </row>
    <row r="195" spans="1:17" x14ac:dyDescent="0.2">
      <c r="A195" s="1">
        <f t="shared" ref="A195:A258" si="14">VALUE(CONCATENATE(1,(REPT(0,2-LEN(O195))&amp;O195),REPT(0,2-LEN(P195))&amp;(P195),Q195))</f>
        <v>106001</v>
      </c>
      <c r="B195" s="3" t="str">
        <f>VLOOKUP(O195,BulletType!A$1:F$35,2)&amp;VLOOKUP(P195,BulletColor!A$1:C$25,3)</f>
        <v>针弹灰</v>
      </c>
      <c r="C195" s="3" t="str">
        <f t="shared" ref="C195:C258" si="15">CONCATENATE("Bullet",INT(A195/10)*10)</f>
        <v>Bullet106000</v>
      </c>
      <c r="D195" s="2">
        <f>VLOOKUP(O195,BulletType!A$2:N243,9)</f>
        <v>0</v>
      </c>
      <c r="E195" s="2">
        <f>VLOOKUP(O195,BulletType!A$2:N243,10)</f>
        <v>0</v>
      </c>
      <c r="F195" s="3" t="str">
        <f>CONCATENATE(VLOOKUP(O195,BulletType!A$2:I$35,8),VLOOKUP(P195,BulletColor!A$2:D$16,4))</f>
        <v>Bullet200000</v>
      </c>
      <c r="G195" s="3" t="str">
        <f>VLOOKUP(O195,BulletType!A$1:G$35,7)</f>
        <v>1.6,0.404</v>
      </c>
      <c r="H195" s="2">
        <f t="shared" si="13"/>
        <v>1</v>
      </c>
      <c r="I195">
        <f>VLOOKUP(O195,BulletType!A$1:F$35,3)</f>
        <v>1</v>
      </c>
      <c r="J195">
        <f>VLOOKUP(O195,BulletType!A$1:F$35,4)</f>
        <v>0</v>
      </c>
      <c r="K195">
        <f>VLOOKUP(O195,BulletType!A$1:F$35,5)</f>
        <v>4.8</v>
      </c>
      <c r="L195">
        <f>VLOOKUP(O195,BulletType!A$1:F$35,5)</f>
        <v>4.8</v>
      </c>
      <c r="M195">
        <f>VLOOKUP(O195,BulletType!A$1:F$35,6)</f>
        <v>2.4</v>
      </c>
      <c r="N195" s="3" t="str">
        <f>VLOOKUP(P195,BulletColor!A$2:B218,2)</f>
        <v>0.5,0.5,0.5</v>
      </c>
      <c r="O195">
        <v>6</v>
      </c>
      <c r="P195" s="2">
        <v>0</v>
      </c>
      <c r="Q195" s="2">
        <f t="shared" si="12"/>
        <v>1</v>
      </c>
    </row>
    <row r="196" spans="1:17" x14ac:dyDescent="0.2">
      <c r="A196" s="1">
        <f t="shared" si="14"/>
        <v>106010</v>
      </c>
      <c r="B196" s="3" t="str">
        <f>VLOOKUP(O196,BulletType!A$1:F$35,2)&amp;VLOOKUP(P196,BulletColor!A$1:C$25,3)</f>
        <v>针弹深红</v>
      </c>
      <c r="C196" s="3" t="str">
        <f t="shared" si="15"/>
        <v>Bullet106010</v>
      </c>
      <c r="D196" s="2">
        <f>VLOOKUP(O196,BulletType!A$2:N244,9)</f>
        <v>0</v>
      </c>
      <c r="E196" s="2">
        <f>VLOOKUP(O196,BulletType!A$2:N244,10)</f>
        <v>0</v>
      </c>
      <c r="F196" s="3" t="str">
        <f>CONCATENATE(VLOOKUP(O196,BulletType!A$2:I$35,8),VLOOKUP(P196,BulletColor!A$2:D$16,4))</f>
        <v>Bullet200010</v>
      </c>
      <c r="G196" s="3" t="str">
        <f>VLOOKUP(O196,BulletType!A$1:G$35,7)</f>
        <v>1.6,0.404</v>
      </c>
      <c r="H196" s="2">
        <f t="shared" si="13"/>
        <v>0</v>
      </c>
      <c r="I196">
        <f>VLOOKUP(O196,BulletType!A$1:F$35,3)</f>
        <v>1</v>
      </c>
      <c r="J196">
        <f>VLOOKUP(O196,BulletType!A$1:F$35,4)</f>
        <v>0</v>
      </c>
      <c r="K196">
        <f>VLOOKUP(O196,BulletType!A$1:F$35,5)</f>
        <v>4.8</v>
      </c>
      <c r="L196">
        <f>VLOOKUP(O196,BulletType!A$1:F$35,5)</f>
        <v>4.8</v>
      </c>
      <c r="M196">
        <f>VLOOKUP(O196,BulletType!A$1:F$35,6)</f>
        <v>2.4</v>
      </c>
      <c r="N196" s="3" t="str">
        <f>VLOOKUP(P196,BulletColor!A$2:B219,2)</f>
        <v>0.625,0.3,0.3</v>
      </c>
      <c r="O196">
        <v>6</v>
      </c>
      <c r="P196" s="2">
        <v>1</v>
      </c>
      <c r="Q196" s="2">
        <f t="shared" si="12"/>
        <v>0</v>
      </c>
    </row>
    <row r="197" spans="1:17" x14ac:dyDescent="0.2">
      <c r="A197" s="1">
        <f t="shared" si="14"/>
        <v>106011</v>
      </c>
      <c r="B197" s="3" t="str">
        <f>VLOOKUP(O197,BulletType!A$1:F$35,2)&amp;VLOOKUP(P197,BulletColor!A$1:C$25,3)</f>
        <v>针弹深红</v>
      </c>
      <c r="C197" s="3" t="str">
        <f t="shared" si="15"/>
        <v>Bullet106010</v>
      </c>
      <c r="D197" s="2">
        <f>VLOOKUP(O197,BulletType!A$2:N245,9)</f>
        <v>0</v>
      </c>
      <c r="E197" s="2">
        <f>VLOOKUP(O197,BulletType!A$2:N245,10)</f>
        <v>0</v>
      </c>
      <c r="F197" s="3" t="str">
        <f>CONCATENATE(VLOOKUP(O197,BulletType!A$2:I$35,8),VLOOKUP(P197,BulletColor!A$2:D$16,4))</f>
        <v>Bullet200010</v>
      </c>
      <c r="G197" s="3" t="str">
        <f>VLOOKUP(O197,BulletType!A$1:G$35,7)</f>
        <v>1.6,0.404</v>
      </c>
      <c r="H197" s="2">
        <f t="shared" si="13"/>
        <v>1</v>
      </c>
      <c r="I197">
        <f>VLOOKUP(O197,BulletType!A$1:F$35,3)</f>
        <v>1</v>
      </c>
      <c r="J197">
        <f>VLOOKUP(O197,BulletType!A$1:F$35,4)</f>
        <v>0</v>
      </c>
      <c r="K197">
        <f>VLOOKUP(O197,BulletType!A$1:F$35,5)</f>
        <v>4.8</v>
      </c>
      <c r="L197">
        <f>VLOOKUP(O197,BulletType!A$1:F$35,5)</f>
        <v>4.8</v>
      </c>
      <c r="M197">
        <f>VLOOKUP(O197,BulletType!A$1:F$35,6)</f>
        <v>2.4</v>
      </c>
      <c r="N197" s="3" t="str">
        <f>VLOOKUP(P197,BulletColor!A$2:B220,2)</f>
        <v>0.625,0.3,0.3</v>
      </c>
      <c r="O197">
        <v>6</v>
      </c>
      <c r="P197" s="2">
        <v>1</v>
      </c>
      <c r="Q197" s="2">
        <f t="shared" si="12"/>
        <v>1</v>
      </c>
    </row>
    <row r="198" spans="1:17" x14ac:dyDescent="0.2">
      <c r="A198" s="1">
        <f t="shared" si="14"/>
        <v>106020</v>
      </c>
      <c r="B198" s="3" t="str">
        <f>VLOOKUP(O198,BulletType!A$1:F$35,2)&amp;VLOOKUP(P198,BulletColor!A$1:C$25,3)</f>
        <v>针弹红</v>
      </c>
      <c r="C198" s="3" t="str">
        <f t="shared" si="15"/>
        <v>Bullet106020</v>
      </c>
      <c r="D198" s="2">
        <f>VLOOKUP(O198,BulletType!A$2:N246,9)</f>
        <v>0</v>
      </c>
      <c r="E198" s="2">
        <f>VLOOKUP(O198,BulletType!A$2:N246,10)</f>
        <v>0</v>
      </c>
      <c r="F198" s="3" t="str">
        <f>CONCATENATE(VLOOKUP(O198,BulletType!A$2:I$35,8),VLOOKUP(P198,BulletColor!A$2:D$16,4))</f>
        <v>Bullet200010</v>
      </c>
      <c r="G198" s="3" t="str">
        <f>VLOOKUP(O198,BulletType!A$1:G$35,7)</f>
        <v>1.6,0.404</v>
      </c>
      <c r="H198" s="2">
        <f t="shared" si="13"/>
        <v>0</v>
      </c>
      <c r="I198">
        <f>VLOOKUP(O198,BulletType!A$1:F$35,3)</f>
        <v>1</v>
      </c>
      <c r="J198">
        <f>VLOOKUP(O198,BulletType!A$1:F$35,4)</f>
        <v>0</v>
      </c>
      <c r="K198">
        <f>VLOOKUP(O198,BulletType!A$1:F$35,5)</f>
        <v>4.8</v>
      </c>
      <c r="L198">
        <f>VLOOKUP(O198,BulletType!A$1:F$35,5)</f>
        <v>4.8</v>
      </c>
      <c r="M198">
        <f>VLOOKUP(O198,BulletType!A$1:F$35,6)</f>
        <v>2.4</v>
      </c>
      <c r="N198" s="3" t="str">
        <f>VLOOKUP(P198,BulletColor!A$2:B221,2)</f>
        <v>0.8,0.3,0.3</v>
      </c>
      <c r="O198">
        <v>6</v>
      </c>
      <c r="P198" s="2">
        <v>2</v>
      </c>
      <c r="Q198" s="2">
        <f t="shared" si="12"/>
        <v>0</v>
      </c>
    </row>
    <row r="199" spans="1:17" x14ac:dyDescent="0.2">
      <c r="A199" s="1">
        <f t="shared" si="14"/>
        <v>106021</v>
      </c>
      <c r="B199" s="3" t="str">
        <f>VLOOKUP(O199,BulletType!A$1:F$35,2)&amp;VLOOKUP(P199,BulletColor!A$1:C$25,3)</f>
        <v>针弹红</v>
      </c>
      <c r="C199" s="3" t="str">
        <f t="shared" si="15"/>
        <v>Bullet106020</v>
      </c>
      <c r="D199" s="2">
        <f>VLOOKUP(O199,BulletType!A$2:N247,9)</f>
        <v>0</v>
      </c>
      <c r="E199" s="2">
        <f>VLOOKUP(O199,BulletType!A$2:N247,10)</f>
        <v>0</v>
      </c>
      <c r="F199" s="3" t="str">
        <f>CONCATENATE(VLOOKUP(O199,BulletType!A$2:I$35,8),VLOOKUP(P199,BulletColor!A$2:D$16,4))</f>
        <v>Bullet200010</v>
      </c>
      <c r="G199" s="3" t="str">
        <f>VLOOKUP(O199,BulletType!A$1:G$35,7)</f>
        <v>1.6,0.404</v>
      </c>
      <c r="H199" s="2">
        <f t="shared" si="13"/>
        <v>1</v>
      </c>
      <c r="I199">
        <f>VLOOKUP(O199,BulletType!A$1:F$35,3)</f>
        <v>1</v>
      </c>
      <c r="J199">
        <f>VLOOKUP(O199,BulletType!A$1:F$35,4)</f>
        <v>0</v>
      </c>
      <c r="K199">
        <f>VLOOKUP(O199,BulletType!A$1:F$35,5)</f>
        <v>4.8</v>
      </c>
      <c r="L199">
        <f>VLOOKUP(O199,BulletType!A$1:F$35,5)</f>
        <v>4.8</v>
      </c>
      <c r="M199">
        <f>VLOOKUP(O199,BulletType!A$1:F$35,6)</f>
        <v>2.4</v>
      </c>
      <c r="N199" s="3" t="str">
        <f>VLOOKUP(P199,BulletColor!A$2:B222,2)</f>
        <v>0.8,0.3,0.3</v>
      </c>
      <c r="O199">
        <v>6</v>
      </c>
      <c r="P199" s="2">
        <v>2</v>
      </c>
      <c r="Q199" s="2">
        <f t="shared" si="12"/>
        <v>1</v>
      </c>
    </row>
    <row r="200" spans="1:17" x14ac:dyDescent="0.2">
      <c r="A200" s="1">
        <f t="shared" si="14"/>
        <v>106030</v>
      </c>
      <c r="B200" s="3" t="str">
        <f>VLOOKUP(O200,BulletType!A$1:F$35,2)&amp;VLOOKUP(P200,BulletColor!A$1:C$25,3)</f>
        <v>针弹深紫</v>
      </c>
      <c r="C200" s="3" t="str">
        <f t="shared" si="15"/>
        <v>Bullet106030</v>
      </c>
      <c r="D200" s="2">
        <f>VLOOKUP(O200,BulletType!A$2:N248,9)</f>
        <v>0</v>
      </c>
      <c r="E200" s="2">
        <f>VLOOKUP(O200,BulletType!A$2:N248,10)</f>
        <v>0</v>
      </c>
      <c r="F200" s="3" t="str">
        <f>CONCATENATE(VLOOKUP(O200,BulletType!A$2:I$35,8),VLOOKUP(P200,BulletColor!A$2:D$16,4))</f>
        <v>Bullet200030</v>
      </c>
      <c r="G200" s="3" t="str">
        <f>VLOOKUP(O200,BulletType!A$1:G$35,7)</f>
        <v>1.6,0.404</v>
      </c>
      <c r="H200" s="2">
        <f t="shared" si="13"/>
        <v>0</v>
      </c>
      <c r="I200">
        <f>VLOOKUP(O200,BulletType!A$1:F$35,3)</f>
        <v>1</v>
      </c>
      <c r="J200">
        <f>VLOOKUP(O200,BulletType!A$1:F$35,4)</f>
        <v>0</v>
      </c>
      <c r="K200">
        <f>VLOOKUP(O200,BulletType!A$1:F$35,5)</f>
        <v>4.8</v>
      </c>
      <c r="L200">
        <f>VLOOKUP(O200,BulletType!A$1:F$35,5)</f>
        <v>4.8</v>
      </c>
      <c r="M200">
        <f>VLOOKUP(O200,BulletType!A$1:F$35,6)</f>
        <v>2.4</v>
      </c>
      <c r="N200" s="3" t="str">
        <f>VLOOKUP(P200,BulletColor!A$2:B223,2)</f>
        <v>1,0.65,1</v>
      </c>
      <c r="O200">
        <v>6</v>
      </c>
      <c r="P200" s="2">
        <v>3</v>
      </c>
      <c r="Q200" s="2">
        <f t="shared" si="12"/>
        <v>0</v>
      </c>
    </row>
    <row r="201" spans="1:17" x14ac:dyDescent="0.2">
      <c r="A201" s="1">
        <f t="shared" si="14"/>
        <v>106031</v>
      </c>
      <c r="B201" s="3" t="str">
        <f>VLOOKUP(O201,BulletType!A$1:F$35,2)&amp;VLOOKUP(P201,BulletColor!A$1:C$25,3)</f>
        <v>针弹深紫</v>
      </c>
      <c r="C201" s="3" t="str">
        <f t="shared" si="15"/>
        <v>Bullet106030</v>
      </c>
      <c r="D201" s="2">
        <f>VLOOKUP(O201,BulletType!A$2:N249,9)</f>
        <v>0</v>
      </c>
      <c r="E201" s="2">
        <f>VLOOKUP(O201,BulletType!A$2:N249,10)</f>
        <v>0</v>
      </c>
      <c r="F201" s="3" t="str">
        <f>CONCATENATE(VLOOKUP(O201,BulletType!A$2:I$35,8),VLOOKUP(P201,BulletColor!A$2:D$16,4))</f>
        <v>Bullet200030</v>
      </c>
      <c r="G201" s="3" t="str">
        <f>VLOOKUP(O201,BulletType!A$1:G$35,7)</f>
        <v>1.6,0.404</v>
      </c>
      <c r="H201" s="2">
        <f t="shared" si="13"/>
        <v>1</v>
      </c>
      <c r="I201">
        <f>VLOOKUP(O201,BulletType!A$1:F$35,3)</f>
        <v>1</v>
      </c>
      <c r="J201">
        <f>VLOOKUP(O201,BulletType!A$1:F$35,4)</f>
        <v>0</v>
      </c>
      <c r="K201">
        <f>VLOOKUP(O201,BulletType!A$1:F$35,5)</f>
        <v>4.8</v>
      </c>
      <c r="L201">
        <f>VLOOKUP(O201,BulletType!A$1:F$35,5)</f>
        <v>4.8</v>
      </c>
      <c r="M201">
        <f>VLOOKUP(O201,BulletType!A$1:F$35,6)</f>
        <v>2.4</v>
      </c>
      <c r="N201" s="3" t="str">
        <f>VLOOKUP(P201,BulletColor!A$2:B224,2)</f>
        <v>1,0.65,1</v>
      </c>
      <c r="O201">
        <v>6</v>
      </c>
      <c r="P201" s="2">
        <v>3</v>
      </c>
      <c r="Q201" s="2">
        <f t="shared" ref="Q201:Q264" si="16">MOD((ROW()-2),2)</f>
        <v>1</v>
      </c>
    </row>
    <row r="202" spans="1:17" x14ac:dyDescent="0.2">
      <c r="A202" s="1">
        <f t="shared" si="14"/>
        <v>106040</v>
      </c>
      <c r="B202" s="3" t="str">
        <f>VLOOKUP(O202,BulletType!A$1:F$35,2)&amp;VLOOKUP(P202,BulletColor!A$1:C$25,3)</f>
        <v>针弹紫</v>
      </c>
      <c r="C202" s="3" t="str">
        <f t="shared" si="15"/>
        <v>Bullet106040</v>
      </c>
      <c r="D202" s="2">
        <f>VLOOKUP(O202,BulletType!A$2:N250,9)</f>
        <v>0</v>
      </c>
      <c r="E202" s="2">
        <f>VLOOKUP(O202,BulletType!A$2:N250,10)</f>
        <v>0</v>
      </c>
      <c r="F202" s="3" t="str">
        <f>CONCATENATE(VLOOKUP(O202,BulletType!A$2:I$35,8),VLOOKUP(P202,BulletColor!A$2:D$16,4))</f>
        <v>Bullet200030</v>
      </c>
      <c r="G202" s="3" t="str">
        <f>VLOOKUP(O202,BulletType!A$1:G$35,7)</f>
        <v>1.6,0.404</v>
      </c>
      <c r="H202" s="2">
        <f t="shared" si="13"/>
        <v>0</v>
      </c>
      <c r="I202">
        <f>VLOOKUP(O202,BulletType!A$1:F$35,3)</f>
        <v>1</v>
      </c>
      <c r="J202">
        <f>VLOOKUP(O202,BulletType!A$1:F$35,4)</f>
        <v>0</v>
      </c>
      <c r="K202">
        <f>VLOOKUP(O202,BulletType!A$1:F$35,5)</f>
        <v>4.8</v>
      </c>
      <c r="L202">
        <f>VLOOKUP(O202,BulletType!A$1:F$35,5)</f>
        <v>4.8</v>
      </c>
      <c r="M202">
        <f>VLOOKUP(O202,BulletType!A$1:F$35,6)</f>
        <v>2.4</v>
      </c>
      <c r="N202" s="3" t="str">
        <f>VLOOKUP(P202,BulletColor!A$2:B225,2)</f>
        <v>1,0.65,1</v>
      </c>
      <c r="O202">
        <v>6</v>
      </c>
      <c r="P202" s="2">
        <v>4</v>
      </c>
      <c r="Q202" s="2">
        <f t="shared" si="16"/>
        <v>0</v>
      </c>
    </row>
    <row r="203" spans="1:17" x14ac:dyDescent="0.2">
      <c r="A203" s="1">
        <f t="shared" si="14"/>
        <v>106041</v>
      </c>
      <c r="B203" s="3" t="str">
        <f>VLOOKUP(O203,BulletType!A$1:F$35,2)&amp;VLOOKUP(P203,BulletColor!A$1:C$25,3)</f>
        <v>针弹紫</v>
      </c>
      <c r="C203" s="3" t="str">
        <f t="shared" si="15"/>
        <v>Bullet106040</v>
      </c>
      <c r="D203" s="2">
        <f>VLOOKUP(O203,BulletType!A$2:N251,9)</f>
        <v>0</v>
      </c>
      <c r="E203" s="2">
        <f>VLOOKUP(O203,BulletType!A$2:N251,10)</f>
        <v>0</v>
      </c>
      <c r="F203" s="3" t="str">
        <f>CONCATENATE(VLOOKUP(O203,BulletType!A$2:I$35,8),VLOOKUP(P203,BulletColor!A$2:D$16,4))</f>
        <v>Bullet200030</v>
      </c>
      <c r="G203" s="3" t="str">
        <f>VLOOKUP(O203,BulletType!A$1:G$35,7)</f>
        <v>1.6,0.404</v>
      </c>
      <c r="H203" s="2">
        <f t="shared" si="13"/>
        <v>1</v>
      </c>
      <c r="I203">
        <f>VLOOKUP(O203,BulletType!A$1:F$35,3)</f>
        <v>1</v>
      </c>
      <c r="J203">
        <f>VLOOKUP(O203,BulletType!A$1:F$35,4)</f>
        <v>0</v>
      </c>
      <c r="K203">
        <f>VLOOKUP(O203,BulletType!A$1:F$35,5)</f>
        <v>4.8</v>
      </c>
      <c r="L203">
        <f>VLOOKUP(O203,BulletType!A$1:F$35,5)</f>
        <v>4.8</v>
      </c>
      <c r="M203">
        <f>VLOOKUP(O203,BulletType!A$1:F$35,6)</f>
        <v>2.4</v>
      </c>
      <c r="N203" s="3" t="str">
        <f>VLOOKUP(P203,BulletColor!A$2:B226,2)</f>
        <v>1,0.65,1</v>
      </c>
      <c r="O203">
        <v>6</v>
      </c>
      <c r="P203" s="2">
        <v>4</v>
      </c>
      <c r="Q203" s="2">
        <f t="shared" si="16"/>
        <v>1</v>
      </c>
    </row>
    <row r="204" spans="1:17" x14ac:dyDescent="0.2">
      <c r="A204" s="1">
        <f t="shared" si="14"/>
        <v>106050</v>
      </c>
      <c r="B204" s="3" t="str">
        <f>VLOOKUP(O204,BulletType!A$1:F$35,2)&amp;VLOOKUP(P204,BulletColor!A$1:C$25,3)</f>
        <v>针弹深蓝</v>
      </c>
      <c r="C204" s="3" t="str">
        <f t="shared" si="15"/>
        <v>Bullet106050</v>
      </c>
      <c r="D204" s="2">
        <f>VLOOKUP(O204,BulletType!A$2:N252,9)</f>
        <v>0</v>
      </c>
      <c r="E204" s="2">
        <f>VLOOKUP(O204,BulletType!A$2:N252,10)</f>
        <v>0</v>
      </c>
      <c r="F204" s="3" t="str">
        <f>CONCATENATE(VLOOKUP(O204,BulletType!A$2:I$35,8),VLOOKUP(P204,BulletColor!A$2:D$16,4))</f>
        <v>Bullet200050</v>
      </c>
      <c r="G204" s="3" t="str">
        <f>VLOOKUP(O204,BulletType!A$1:G$35,7)</f>
        <v>1.6,0.404</v>
      </c>
      <c r="H204" s="2">
        <f t="shared" si="13"/>
        <v>0</v>
      </c>
      <c r="I204">
        <f>VLOOKUP(O204,BulletType!A$1:F$35,3)</f>
        <v>1</v>
      </c>
      <c r="J204">
        <f>VLOOKUP(O204,BulletType!A$1:F$35,4)</f>
        <v>0</v>
      </c>
      <c r="K204">
        <f>VLOOKUP(O204,BulletType!A$1:F$35,5)</f>
        <v>4.8</v>
      </c>
      <c r="L204">
        <f>VLOOKUP(O204,BulletType!A$1:F$35,5)</f>
        <v>4.8</v>
      </c>
      <c r="M204">
        <f>VLOOKUP(O204,BulletType!A$1:F$35,6)</f>
        <v>2.4</v>
      </c>
      <c r="N204" s="3" t="str">
        <f>VLOOKUP(P204,BulletColor!A$2:B227,2)</f>
        <v>0,0.1,1</v>
      </c>
      <c r="O204">
        <v>6</v>
      </c>
      <c r="P204" s="2">
        <v>5</v>
      </c>
      <c r="Q204" s="2">
        <f t="shared" si="16"/>
        <v>0</v>
      </c>
    </row>
    <row r="205" spans="1:17" x14ac:dyDescent="0.2">
      <c r="A205" s="1">
        <f t="shared" si="14"/>
        <v>106051</v>
      </c>
      <c r="B205" s="3" t="str">
        <f>VLOOKUP(O205,BulletType!A$1:F$35,2)&amp;VLOOKUP(P205,BulletColor!A$1:C$25,3)</f>
        <v>针弹深蓝</v>
      </c>
      <c r="C205" s="3" t="str">
        <f t="shared" si="15"/>
        <v>Bullet106050</v>
      </c>
      <c r="D205" s="2">
        <f>VLOOKUP(O205,BulletType!A$2:N253,9)</f>
        <v>0</v>
      </c>
      <c r="E205" s="2">
        <f>VLOOKUP(O205,BulletType!A$2:N253,10)</f>
        <v>0</v>
      </c>
      <c r="F205" s="3" t="str">
        <f>CONCATENATE(VLOOKUP(O205,BulletType!A$2:I$35,8),VLOOKUP(P205,BulletColor!A$2:D$16,4))</f>
        <v>Bullet200050</v>
      </c>
      <c r="G205" s="3" t="str">
        <f>VLOOKUP(O205,BulletType!A$1:G$35,7)</f>
        <v>1.6,0.404</v>
      </c>
      <c r="H205" s="2">
        <f t="shared" si="13"/>
        <v>1</v>
      </c>
      <c r="I205">
        <f>VLOOKUP(O205,BulletType!A$1:F$35,3)</f>
        <v>1</v>
      </c>
      <c r="J205">
        <f>VLOOKUP(O205,BulletType!A$1:F$35,4)</f>
        <v>0</v>
      </c>
      <c r="K205">
        <f>VLOOKUP(O205,BulletType!A$1:F$35,5)</f>
        <v>4.8</v>
      </c>
      <c r="L205">
        <f>VLOOKUP(O205,BulletType!A$1:F$35,5)</f>
        <v>4.8</v>
      </c>
      <c r="M205">
        <f>VLOOKUP(O205,BulletType!A$1:F$35,6)</f>
        <v>2.4</v>
      </c>
      <c r="N205" s="3" t="str">
        <f>VLOOKUP(P205,BulletColor!A$2:B228,2)</f>
        <v>0,0.1,1</v>
      </c>
      <c r="O205">
        <v>6</v>
      </c>
      <c r="P205" s="2">
        <v>5</v>
      </c>
      <c r="Q205" s="2">
        <f t="shared" si="16"/>
        <v>1</v>
      </c>
    </row>
    <row r="206" spans="1:17" x14ac:dyDescent="0.2">
      <c r="A206" s="1">
        <f t="shared" si="14"/>
        <v>106060</v>
      </c>
      <c r="B206" s="3" t="str">
        <f>VLOOKUP(O206,BulletType!A$1:F$35,2)&amp;VLOOKUP(P206,BulletColor!A$1:C$25,3)</f>
        <v>针弹蓝</v>
      </c>
      <c r="C206" s="3" t="str">
        <f t="shared" si="15"/>
        <v>Bullet106060</v>
      </c>
      <c r="D206" s="2">
        <f>VLOOKUP(O206,BulletType!A$2:N254,9)</f>
        <v>0</v>
      </c>
      <c r="E206" s="2">
        <f>VLOOKUP(O206,BulletType!A$2:N254,10)</f>
        <v>0</v>
      </c>
      <c r="F206" s="3" t="str">
        <f>CONCATENATE(VLOOKUP(O206,BulletType!A$2:I$35,8),VLOOKUP(P206,BulletColor!A$2:D$16,4))</f>
        <v>Bullet200050</v>
      </c>
      <c r="G206" s="3" t="str">
        <f>VLOOKUP(O206,BulletType!A$1:G$35,7)</f>
        <v>1.6,0.404</v>
      </c>
      <c r="H206" s="2">
        <f t="shared" si="13"/>
        <v>0</v>
      </c>
      <c r="I206">
        <f>VLOOKUP(O206,BulletType!A$1:F$35,3)</f>
        <v>1</v>
      </c>
      <c r="J206">
        <f>VLOOKUP(O206,BulletType!A$1:F$35,4)</f>
        <v>0</v>
      </c>
      <c r="K206">
        <f>VLOOKUP(O206,BulletType!A$1:F$35,5)</f>
        <v>4.8</v>
      </c>
      <c r="L206">
        <f>VLOOKUP(O206,BulletType!A$1:F$35,5)</f>
        <v>4.8</v>
      </c>
      <c r="M206">
        <f>VLOOKUP(O206,BulletType!A$1:F$35,6)</f>
        <v>2.4</v>
      </c>
      <c r="N206" s="3" t="str">
        <f>VLOOKUP(P206,BulletColor!A$2:B229,2)</f>
        <v>0,0.1,1</v>
      </c>
      <c r="O206">
        <v>6</v>
      </c>
      <c r="P206" s="2">
        <v>6</v>
      </c>
      <c r="Q206" s="2">
        <f t="shared" si="16"/>
        <v>0</v>
      </c>
    </row>
    <row r="207" spans="1:17" x14ac:dyDescent="0.2">
      <c r="A207" s="1">
        <f t="shared" si="14"/>
        <v>106061</v>
      </c>
      <c r="B207" s="3" t="str">
        <f>VLOOKUP(O207,BulletType!A$1:F$35,2)&amp;VLOOKUP(P207,BulletColor!A$1:C$25,3)</f>
        <v>针弹蓝</v>
      </c>
      <c r="C207" s="3" t="str">
        <f t="shared" si="15"/>
        <v>Bullet106060</v>
      </c>
      <c r="D207" s="2">
        <f>VLOOKUP(O207,BulletType!A$2:N255,9)</f>
        <v>0</v>
      </c>
      <c r="E207" s="2">
        <f>VLOOKUP(O207,BulletType!A$2:N255,10)</f>
        <v>0</v>
      </c>
      <c r="F207" s="3" t="str">
        <f>CONCATENATE(VLOOKUP(O207,BulletType!A$2:I$35,8),VLOOKUP(P207,BulletColor!A$2:D$16,4))</f>
        <v>Bullet200050</v>
      </c>
      <c r="G207" s="3" t="str">
        <f>VLOOKUP(O207,BulletType!A$1:G$35,7)</f>
        <v>1.6,0.404</v>
      </c>
      <c r="H207" s="2">
        <f t="shared" si="13"/>
        <v>1</v>
      </c>
      <c r="I207">
        <f>VLOOKUP(O207,BulletType!A$1:F$35,3)</f>
        <v>1</v>
      </c>
      <c r="J207">
        <f>VLOOKUP(O207,BulletType!A$1:F$35,4)</f>
        <v>0</v>
      </c>
      <c r="K207">
        <f>VLOOKUP(O207,BulletType!A$1:F$35,5)</f>
        <v>4.8</v>
      </c>
      <c r="L207">
        <f>VLOOKUP(O207,BulletType!A$1:F$35,5)</f>
        <v>4.8</v>
      </c>
      <c r="M207">
        <f>VLOOKUP(O207,BulletType!A$1:F$35,6)</f>
        <v>2.4</v>
      </c>
      <c r="N207" s="3" t="str">
        <f>VLOOKUP(P207,BulletColor!A$2:B230,2)</f>
        <v>0,0.1,1</v>
      </c>
      <c r="O207">
        <v>6</v>
      </c>
      <c r="P207" s="2">
        <v>6</v>
      </c>
      <c r="Q207" s="2">
        <f t="shared" si="16"/>
        <v>1</v>
      </c>
    </row>
    <row r="208" spans="1:17" x14ac:dyDescent="0.2">
      <c r="A208" s="1">
        <f t="shared" si="14"/>
        <v>106070</v>
      </c>
      <c r="B208" s="3" t="str">
        <f>VLOOKUP(O208,BulletType!A$1:F$35,2)&amp;VLOOKUP(P208,BulletColor!A$1:C$25,3)</f>
        <v>针弹深青</v>
      </c>
      <c r="C208" s="3" t="str">
        <f t="shared" si="15"/>
        <v>Bullet106070</v>
      </c>
      <c r="D208" s="2">
        <f>VLOOKUP(O208,BulletType!A$2:N256,9)</f>
        <v>0</v>
      </c>
      <c r="E208" s="2">
        <f>VLOOKUP(O208,BulletType!A$2:N256,10)</f>
        <v>0</v>
      </c>
      <c r="F208" s="3" t="str">
        <f>CONCATENATE(VLOOKUP(O208,BulletType!A$2:I$35,8),VLOOKUP(P208,BulletColor!A$2:D$16,4))</f>
        <v>Bullet200070</v>
      </c>
      <c r="G208" s="3" t="str">
        <f>VLOOKUP(O208,BulletType!A$1:G$35,7)</f>
        <v>1.6,0.404</v>
      </c>
      <c r="H208" s="2">
        <f t="shared" si="13"/>
        <v>0</v>
      </c>
      <c r="I208">
        <f>VLOOKUP(O208,BulletType!A$1:F$35,3)</f>
        <v>1</v>
      </c>
      <c r="J208">
        <f>VLOOKUP(O208,BulletType!A$1:F$35,4)</f>
        <v>0</v>
      </c>
      <c r="K208">
        <f>VLOOKUP(O208,BulletType!A$1:F$35,5)</f>
        <v>4.8</v>
      </c>
      <c r="L208">
        <f>VLOOKUP(O208,BulletType!A$1:F$35,5)</f>
        <v>4.8</v>
      </c>
      <c r="M208">
        <f>VLOOKUP(O208,BulletType!A$1:F$35,6)</f>
        <v>2.4</v>
      </c>
      <c r="N208" s="3" t="str">
        <f>VLOOKUP(P208,BulletColor!A$2:B231,2)</f>
        <v>0.25,1,1</v>
      </c>
      <c r="O208">
        <v>6</v>
      </c>
      <c r="P208" s="2">
        <v>7</v>
      </c>
      <c r="Q208" s="2">
        <f t="shared" si="16"/>
        <v>0</v>
      </c>
    </row>
    <row r="209" spans="1:17" x14ac:dyDescent="0.2">
      <c r="A209" s="1">
        <f t="shared" si="14"/>
        <v>106071</v>
      </c>
      <c r="B209" s="3" t="str">
        <f>VLOOKUP(O209,BulletType!A$1:F$35,2)&amp;VLOOKUP(P209,BulletColor!A$1:C$25,3)</f>
        <v>针弹深青</v>
      </c>
      <c r="C209" s="3" t="str">
        <f t="shared" si="15"/>
        <v>Bullet106070</v>
      </c>
      <c r="D209" s="2">
        <f>VLOOKUP(O209,BulletType!A$2:N257,9)</f>
        <v>0</v>
      </c>
      <c r="E209" s="2">
        <f>VLOOKUP(O209,BulletType!A$2:N257,10)</f>
        <v>0</v>
      </c>
      <c r="F209" s="3" t="str">
        <f>CONCATENATE(VLOOKUP(O209,BulletType!A$2:I$35,8),VLOOKUP(P209,BulletColor!A$2:D$16,4))</f>
        <v>Bullet200070</v>
      </c>
      <c r="G209" s="3" t="str">
        <f>VLOOKUP(O209,BulletType!A$1:G$35,7)</f>
        <v>1.6,0.404</v>
      </c>
      <c r="H209" s="2">
        <f t="shared" si="13"/>
        <v>1</v>
      </c>
      <c r="I209">
        <f>VLOOKUP(O209,BulletType!A$1:F$35,3)</f>
        <v>1</v>
      </c>
      <c r="J209">
        <f>VLOOKUP(O209,BulletType!A$1:F$35,4)</f>
        <v>0</v>
      </c>
      <c r="K209">
        <f>VLOOKUP(O209,BulletType!A$1:F$35,5)</f>
        <v>4.8</v>
      </c>
      <c r="L209">
        <f>VLOOKUP(O209,BulletType!A$1:F$35,5)</f>
        <v>4.8</v>
      </c>
      <c r="M209">
        <f>VLOOKUP(O209,BulletType!A$1:F$35,6)</f>
        <v>2.4</v>
      </c>
      <c r="N209" s="3" t="str">
        <f>VLOOKUP(P209,BulletColor!A$2:B232,2)</f>
        <v>0.25,1,1</v>
      </c>
      <c r="O209">
        <v>6</v>
      </c>
      <c r="P209" s="2">
        <v>7</v>
      </c>
      <c r="Q209" s="2">
        <f t="shared" si="16"/>
        <v>1</v>
      </c>
    </row>
    <row r="210" spans="1:17" x14ac:dyDescent="0.2">
      <c r="A210" s="1">
        <f t="shared" si="14"/>
        <v>106080</v>
      </c>
      <c r="B210" s="3" t="str">
        <f>VLOOKUP(O210,BulletType!A$1:F$35,2)&amp;VLOOKUP(P210,BulletColor!A$1:C$25,3)</f>
        <v>针弹青</v>
      </c>
      <c r="C210" s="3" t="str">
        <f t="shared" si="15"/>
        <v>Bullet106080</v>
      </c>
      <c r="D210" s="2">
        <f>VLOOKUP(O210,BulletType!A$2:N258,9)</f>
        <v>0</v>
      </c>
      <c r="E210" s="2">
        <f>VLOOKUP(O210,BulletType!A$2:N258,10)</f>
        <v>0</v>
      </c>
      <c r="F210" s="3" t="str">
        <f>CONCATENATE(VLOOKUP(O210,BulletType!A$2:I$35,8),VLOOKUP(P210,BulletColor!A$2:D$16,4))</f>
        <v>Bullet200070</v>
      </c>
      <c r="G210" s="3" t="str">
        <f>VLOOKUP(O210,BulletType!A$1:G$35,7)</f>
        <v>1.6,0.404</v>
      </c>
      <c r="H210" s="2">
        <f t="shared" si="13"/>
        <v>0</v>
      </c>
      <c r="I210">
        <f>VLOOKUP(O210,BulletType!A$1:F$35,3)</f>
        <v>1</v>
      </c>
      <c r="J210">
        <f>VLOOKUP(O210,BulletType!A$1:F$35,4)</f>
        <v>0</v>
      </c>
      <c r="K210">
        <f>VLOOKUP(O210,BulletType!A$1:F$35,5)</f>
        <v>4.8</v>
      </c>
      <c r="L210">
        <f>VLOOKUP(O210,BulletType!A$1:F$35,5)</f>
        <v>4.8</v>
      </c>
      <c r="M210">
        <f>VLOOKUP(O210,BulletType!A$1:F$35,6)</f>
        <v>2.4</v>
      </c>
      <c r="N210" s="3" t="str">
        <f>VLOOKUP(P210,BulletColor!A$2:B233,2)</f>
        <v>0.25,1,1</v>
      </c>
      <c r="O210">
        <v>6</v>
      </c>
      <c r="P210" s="2">
        <v>8</v>
      </c>
      <c r="Q210" s="2">
        <f t="shared" si="16"/>
        <v>0</v>
      </c>
    </row>
    <row r="211" spans="1:17" x14ac:dyDescent="0.2">
      <c r="A211" s="1">
        <f t="shared" si="14"/>
        <v>106081</v>
      </c>
      <c r="B211" s="3" t="str">
        <f>VLOOKUP(O211,BulletType!A$1:F$35,2)&amp;VLOOKUP(P211,BulletColor!A$1:C$25,3)</f>
        <v>针弹青</v>
      </c>
      <c r="C211" s="3" t="str">
        <f t="shared" si="15"/>
        <v>Bullet106080</v>
      </c>
      <c r="D211" s="2">
        <f>VLOOKUP(O211,BulletType!A$2:N259,9)</f>
        <v>0</v>
      </c>
      <c r="E211" s="2">
        <f>VLOOKUP(O211,BulletType!A$2:N259,10)</f>
        <v>0</v>
      </c>
      <c r="F211" s="3" t="str">
        <f>CONCATENATE(VLOOKUP(O211,BulletType!A$2:I$35,8),VLOOKUP(P211,BulletColor!A$2:D$16,4))</f>
        <v>Bullet200070</v>
      </c>
      <c r="G211" s="3" t="str">
        <f>VLOOKUP(O211,BulletType!A$1:G$35,7)</f>
        <v>1.6,0.404</v>
      </c>
      <c r="H211" s="2">
        <f t="shared" si="13"/>
        <v>1</v>
      </c>
      <c r="I211">
        <f>VLOOKUP(O211,BulletType!A$1:F$35,3)</f>
        <v>1</v>
      </c>
      <c r="J211">
        <f>VLOOKUP(O211,BulletType!A$1:F$35,4)</f>
        <v>0</v>
      </c>
      <c r="K211">
        <f>VLOOKUP(O211,BulletType!A$1:F$35,5)</f>
        <v>4.8</v>
      </c>
      <c r="L211">
        <f>VLOOKUP(O211,BulletType!A$1:F$35,5)</f>
        <v>4.8</v>
      </c>
      <c r="M211">
        <f>VLOOKUP(O211,BulletType!A$1:F$35,6)</f>
        <v>2.4</v>
      </c>
      <c r="N211" s="3" t="str">
        <f>VLOOKUP(P211,BulletColor!A$2:B234,2)</f>
        <v>0.25,1,1</v>
      </c>
      <c r="O211">
        <v>6</v>
      </c>
      <c r="P211" s="2">
        <v>8</v>
      </c>
      <c r="Q211" s="2">
        <f t="shared" si="16"/>
        <v>1</v>
      </c>
    </row>
    <row r="212" spans="1:17" x14ac:dyDescent="0.2">
      <c r="A212" s="1">
        <f t="shared" si="14"/>
        <v>106090</v>
      </c>
      <c r="B212" s="3" t="str">
        <f>VLOOKUP(O212,BulletType!A$1:F$35,2)&amp;VLOOKUP(P212,BulletColor!A$1:C$25,3)</f>
        <v>针弹深绿</v>
      </c>
      <c r="C212" s="3" t="str">
        <f t="shared" si="15"/>
        <v>Bullet106090</v>
      </c>
      <c r="D212" s="2">
        <f>VLOOKUP(O212,BulletType!A$2:N260,9)</f>
        <v>0</v>
      </c>
      <c r="E212" s="2">
        <f>VLOOKUP(O212,BulletType!A$2:N260,10)</f>
        <v>0</v>
      </c>
      <c r="F212" s="3" t="str">
        <f>CONCATENATE(VLOOKUP(O212,BulletType!A$2:I$35,8),VLOOKUP(P212,BulletColor!A$2:D$16,4))</f>
        <v>Bullet200090</v>
      </c>
      <c r="G212" s="3" t="str">
        <f>VLOOKUP(O212,BulletType!A$1:G$35,7)</f>
        <v>1.6,0.404</v>
      </c>
      <c r="H212" s="2">
        <f t="shared" si="13"/>
        <v>0</v>
      </c>
      <c r="I212">
        <f>VLOOKUP(O212,BulletType!A$1:F$35,3)</f>
        <v>1</v>
      </c>
      <c r="J212">
        <f>VLOOKUP(O212,BulletType!A$1:F$35,4)</f>
        <v>0</v>
      </c>
      <c r="K212">
        <f>VLOOKUP(O212,BulletType!A$1:F$35,5)</f>
        <v>4.8</v>
      </c>
      <c r="L212">
        <f>VLOOKUP(O212,BulletType!A$1:F$35,5)</f>
        <v>4.8</v>
      </c>
      <c r="M212">
        <f>VLOOKUP(O212,BulletType!A$1:F$35,6)</f>
        <v>2.4</v>
      </c>
      <c r="N212" s="3" t="str">
        <f>VLOOKUP(P212,BulletColor!A$2:B235,2)</f>
        <v>0.36,0.78,1</v>
      </c>
      <c r="O212">
        <v>6</v>
      </c>
      <c r="P212" s="2">
        <v>9</v>
      </c>
      <c r="Q212" s="2">
        <f t="shared" si="16"/>
        <v>0</v>
      </c>
    </row>
    <row r="213" spans="1:17" x14ac:dyDescent="0.2">
      <c r="A213" s="1">
        <f t="shared" si="14"/>
        <v>106091</v>
      </c>
      <c r="B213" s="3" t="str">
        <f>VLOOKUP(O213,BulletType!A$1:F$35,2)&amp;VLOOKUP(P213,BulletColor!A$1:C$25,3)</f>
        <v>针弹深绿</v>
      </c>
      <c r="C213" s="3" t="str">
        <f t="shared" si="15"/>
        <v>Bullet106090</v>
      </c>
      <c r="D213" s="2">
        <f>VLOOKUP(O213,BulletType!A$2:N261,9)</f>
        <v>0</v>
      </c>
      <c r="E213" s="2">
        <f>VLOOKUP(O213,BulletType!A$2:N261,10)</f>
        <v>0</v>
      </c>
      <c r="F213" s="3" t="str">
        <f>CONCATENATE(VLOOKUP(O213,BulletType!A$2:I$35,8),VLOOKUP(P213,BulletColor!A$2:D$16,4))</f>
        <v>Bullet200090</v>
      </c>
      <c r="G213" s="3" t="str">
        <f>VLOOKUP(O213,BulletType!A$1:G$35,7)</f>
        <v>1.6,0.404</v>
      </c>
      <c r="H213" s="2">
        <f t="shared" si="13"/>
        <v>1</v>
      </c>
      <c r="I213">
        <f>VLOOKUP(O213,BulletType!A$1:F$35,3)</f>
        <v>1</v>
      </c>
      <c r="J213">
        <f>VLOOKUP(O213,BulletType!A$1:F$35,4)</f>
        <v>0</v>
      </c>
      <c r="K213">
        <f>VLOOKUP(O213,BulletType!A$1:F$35,5)</f>
        <v>4.8</v>
      </c>
      <c r="L213">
        <f>VLOOKUP(O213,BulletType!A$1:F$35,5)</f>
        <v>4.8</v>
      </c>
      <c r="M213">
        <f>VLOOKUP(O213,BulletType!A$1:F$35,6)</f>
        <v>2.4</v>
      </c>
      <c r="N213" s="3" t="str">
        <f>VLOOKUP(P213,BulletColor!A$2:B236,2)</f>
        <v>0.36,0.78,1</v>
      </c>
      <c r="O213">
        <v>6</v>
      </c>
      <c r="P213" s="2">
        <v>9</v>
      </c>
      <c r="Q213" s="2">
        <f t="shared" si="16"/>
        <v>1</v>
      </c>
    </row>
    <row r="214" spans="1:17" x14ac:dyDescent="0.2">
      <c r="A214" s="1">
        <f t="shared" si="14"/>
        <v>106100</v>
      </c>
      <c r="B214" s="3" t="str">
        <f>VLOOKUP(O214,BulletType!A$1:F$35,2)&amp;VLOOKUP(P214,BulletColor!A$1:C$25,3)</f>
        <v>针弹绿</v>
      </c>
      <c r="C214" s="3" t="str">
        <f t="shared" si="15"/>
        <v>Bullet106100</v>
      </c>
      <c r="D214" s="2">
        <f>VLOOKUP(O214,BulletType!A$2:N262,9)</f>
        <v>0</v>
      </c>
      <c r="E214" s="2">
        <f>VLOOKUP(O214,BulletType!A$2:N262,10)</f>
        <v>0</v>
      </c>
      <c r="F214" s="3" t="str">
        <f>CONCATENATE(VLOOKUP(O214,BulletType!A$2:I$35,8),VLOOKUP(P214,BulletColor!A$2:D$16,4))</f>
        <v>Bullet200090</v>
      </c>
      <c r="G214" s="3" t="str">
        <f>VLOOKUP(O214,BulletType!A$1:G$35,7)</f>
        <v>1.6,0.404</v>
      </c>
      <c r="H214" s="2">
        <f t="shared" si="13"/>
        <v>0</v>
      </c>
      <c r="I214">
        <f>VLOOKUP(O214,BulletType!A$1:F$35,3)</f>
        <v>1</v>
      </c>
      <c r="J214">
        <f>VLOOKUP(O214,BulletType!A$1:F$35,4)</f>
        <v>0</v>
      </c>
      <c r="K214">
        <f>VLOOKUP(O214,BulletType!A$1:F$35,5)</f>
        <v>4.8</v>
      </c>
      <c r="L214">
        <f>VLOOKUP(O214,BulletType!A$1:F$35,5)</f>
        <v>4.8</v>
      </c>
      <c r="M214">
        <f>VLOOKUP(O214,BulletType!A$1:F$35,6)</f>
        <v>2.4</v>
      </c>
      <c r="N214" s="3" t="str">
        <f>VLOOKUP(P214,BulletColor!A$2:B237,2)</f>
        <v>0.36,0.78,1</v>
      </c>
      <c r="O214">
        <v>6</v>
      </c>
      <c r="P214" s="2">
        <v>10</v>
      </c>
      <c r="Q214" s="2">
        <f t="shared" si="16"/>
        <v>0</v>
      </c>
    </row>
    <row r="215" spans="1:17" x14ac:dyDescent="0.2">
      <c r="A215" s="1">
        <f t="shared" si="14"/>
        <v>106101</v>
      </c>
      <c r="B215" s="3" t="str">
        <f>VLOOKUP(O215,BulletType!A$1:F$35,2)&amp;VLOOKUP(P215,BulletColor!A$1:C$25,3)</f>
        <v>针弹绿</v>
      </c>
      <c r="C215" s="3" t="str">
        <f t="shared" si="15"/>
        <v>Bullet106100</v>
      </c>
      <c r="D215" s="2">
        <f>VLOOKUP(O215,BulletType!A$2:N263,9)</f>
        <v>0</v>
      </c>
      <c r="E215" s="2">
        <f>VLOOKUP(O215,BulletType!A$2:N263,10)</f>
        <v>0</v>
      </c>
      <c r="F215" s="3" t="str">
        <f>CONCATENATE(VLOOKUP(O215,BulletType!A$2:I$35,8),VLOOKUP(P215,BulletColor!A$2:D$16,4))</f>
        <v>Bullet200090</v>
      </c>
      <c r="G215" s="3" t="str">
        <f>VLOOKUP(O215,BulletType!A$1:G$35,7)</f>
        <v>1.6,0.404</v>
      </c>
      <c r="H215" s="2">
        <f t="shared" si="13"/>
        <v>1</v>
      </c>
      <c r="I215">
        <f>VLOOKUP(O215,BulletType!A$1:F$35,3)</f>
        <v>1</v>
      </c>
      <c r="J215">
        <f>VLOOKUP(O215,BulletType!A$1:F$35,4)</f>
        <v>0</v>
      </c>
      <c r="K215">
        <f>VLOOKUP(O215,BulletType!A$1:F$35,5)</f>
        <v>4.8</v>
      </c>
      <c r="L215">
        <f>VLOOKUP(O215,BulletType!A$1:F$35,5)</f>
        <v>4.8</v>
      </c>
      <c r="M215">
        <f>VLOOKUP(O215,BulletType!A$1:F$35,6)</f>
        <v>2.4</v>
      </c>
      <c r="N215" s="3" t="str">
        <f>VLOOKUP(P215,BulletColor!A$2:B238,2)</f>
        <v>0.36,0.78,1</v>
      </c>
      <c r="O215">
        <v>6</v>
      </c>
      <c r="P215" s="2">
        <v>10</v>
      </c>
      <c r="Q215" s="2">
        <f t="shared" si="16"/>
        <v>1</v>
      </c>
    </row>
    <row r="216" spans="1:17" x14ac:dyDescent="0.2">
      <c r="A216" s="1">
        <f t="shared" si="14"/>
        <v>106110</v>
      </c>
      <c r="B216" s="3" t="str">
        <f>VLOOKUP(O216,BulletType!A$1:F$35,2)&amp;VLOOKUP(P216,BulletColor!A$1:C$25,3)</f>
        <v>针弹黄绿</v>
      </c>
      <c r="C216" s="3" t="str">
        <f t="shared" si="15"/>
        <v>Bullet106110</v>
      </c>
      <c r="D216" s="2">
        <f>VLOOKUP(O216,BulletType!A$2:N264,9)</f>
        <v>0</v>
      </c>
      <c r="E216" s="2">
        <f>VLOOKUP(O216,BulletType!A$2:N264,10)</f>
        <v>0</v>
      </c>
      <c r="F216" s="3" t="str">
        <f>CONCATENATE(VLOOKUP(O216,BulletType!A$2:I$35,8),VLOOKUP(P216,BulletColor!A$2:D$16,4))</f>
        <v>Bullet200090</v>
      </c>
      <c r="G216" s="3" t="str">
        <f>VLOOKUP(O216,BulletType!A$1:G$35,7)</f>
        <v>1.6,0.404</v>
      </c>
      <c r="H216" s="2">
        <f t="shared" si="13"/>
        <v>0</v>
      </c>
      <c r="I216">
        <f>VLOOKUP(O216,BulletType!A$1:F$35,3)</f>
        <v>1</v>
      </c>
      <c r="J216">
        <f>VLOOKUP(O216,BulletType!A$1:F$35,4)</f>
        <v>0</v>
      </c>
      <c r="K216">
        <f>VLOOKUP(O216,BulletType!A$1:F$35,5)</f>
        <v>4.8</v>
      </c>
      <c r="L216">
        <f>VLOOKUP(O216,BulletType!A$1:F$35,5)</f>
        <v>4.8</v>
      </c>
      <c r="M216">
        <f>VLOOKUP(O216,BulletType!A$1:F$35,6)</f>
        <v>2.4</v>
      </c>
      <c r="N216" s="3" t="str">
        <f>VLOOKUP(P216,BulletColor!A$2:B239,2)</f>
        <v>0.9,1,0.4</v>
      </c>
      <c r="O216">
        <v>6</v>
      </c>
      <c r="P216" s="2">
        <v>11</v>
      </c>
      <c r="Q216" s="2">
        <f t="shared" si="16"/>
        <v>0</v>
      </c>
    </row>
    <row r="217" spans="1:17" x14ac:dyDescent="0.2">
      <c r="A217" s="1">
        <f t="shared" si="14"/>
        <v>106111</v>
      </c>
      <c r="B217" s="3" t="str">
        <f>VLOOKUP(O217,BulletType!A$1:F$35,2)&amp;VLOOKUP(P217,BulletColor!A$1:C$25,3)</f>
        <v>针弹黄绿</v>
      </c>
      <c r="C217" s="3" t="str">
        <f t="shared" si="15"/>
        <v>Bullet106110</v>
      </c>
      <c r="D217" s="2">
        <f>VLOOKUP(O217,BulletType!A$2:N265,9)</f>
        <v>0</v>
      </c>
      <c r="E217" s="2">
        <f>VLOOKUP(O217,BulletType!A$2:N265,10)</f>
        <v>0</v>
      </c>
      <c r="F217" s="3" t="str">
        <f>CONCATENATE(VLOOKUP(O217,BulletType!A$2:I$35,8),VLOOKUP(P217,BulletColor!A$2:D$16,4))</f>
        <v>Bullet200090</v>
      </c>
      <c r="G217" s="3" t="str">
        <f>VLOOKUP(O217,BulletType!A$1:G$35,7)</f>
        <v>1.6,0.404</v>
      </c>
      <c r="H217" s="2">
        <f t="shared" si="13"/>
        <v>1</v>
      </c>
      <c r="I217">
        <f>VLOOKUP(O217,BulletType!A$1:F$35,3)</f>
        <v>1</v>
      </c>
      <c r="J217">
        <f>VLOOKUP(O217,BulletType!A$1:F$35,4)</f>
        <v>0</v>
      </c>
      <c r="K217">
        <f>VLOOKUP(O217,BulletType!A$1:F$35,5)</f>
        <v>4.8</v>
      </c>
      <c r="L217">
        <f>VLOOKUP(O217,BulletType!A$1:F$35,5)</f>
        <v>4.8</v>
      </c>
      <c r="M217">
        <f>VLOOKUP(O217,BulletType!A$1:F$35,6)</f>
        <v>2.4</v>
      </c>
      <c r="N217" s="3" t="str">
        <f>VLOOKUP(P217,BulletColor!A$2:B240,2)</f>
        <v>0.9,1,0.4</v>
      </c>
      <c r="O217">
        <v>6</v>
      </c>
      <c r="P217" s="2">
        <v>11</v>
      </c>
      <c r="Q217" s="2">
        <f t="shared" si="16"/>
        <v>1</v>
      </c>
    </row>
    <row r="218" spans="1:17" x14ac:dyDescent="0.2">
      <c r="A218" s="1">
        <f t="shared" si="14"/>
        <v>106120</v>
      </c>
      <c r="B218" s="3" t="str">
        <f>VLOOKUP(O218,BulletType!A$1:F$35,2)&amp;VLOOKUP(P218,BulletColor!A$1:C$25,3)</f>
        <v>针弹深黄</v>
      </c>
      <c r="C218" s="3" t="str">
        <f t="shared" si="15"/>
        <v>Bullet106120</v>
      </c>
      <c r="D218" s="2">
        <f>VLOOKUP(O218,BulletType!A$2:N266,9)</f>
        <v>0</v>
      </c>
      <c r="E218" s="2">
        <f>VLOOKUP(O218,BulletType!A$2:N266,10)</f>
        <v>0</v>
      </c>
      <c r="F218" s="3" t="str">
        <f>CONCATENATE(VLOOKUP(O218,BulletType!A$2:I$35,8),VLOOKUP(P218,BulletColor!A$2:D$16,4))</f>
        <v>Bullet200090</v>
      </c>
      <c r="G218" s="3" t="str">
        <f>VLOOKUP(O218,BulletType!A$1:G$35,7)</f>
        <v>1.6,0.404</v>
      </c>
      <c r="H218" s="2">
        <f t="shared" si="13"/>
        <v>0</v>
      </c>
      <c r="I218">
        <f>VLOOKUP(O218,BulletType!A$1:F$35,3)</f>
        <v>1</v>
      </c>
      <c r="J218">
        <f>VLOOKUP(O218,BulletType!A$1:F$35,4)</f>
        <v>0</v>
      </c>
      <c r="K218">
        <f>VLOOKUP(O218,BulletType!A$1:F$35,5)</f>
        <v>4.8</v>
      </c>
      <c r="L218">
        <f>VLOOKUP(O218,BulletType!A$1:F$35,5)</f>
        <v>4.8</v>
      </c>
      <c r="M218">
        <f>VLOOKUP(O218,BulletType!A$1:F$35,6)</f>
        <v>2.4</v>
      </c>
      <c r="N218" s="3" t="str">
        <f>VLOOKUP(P218,BulletColor!A$2:B241,2)</f>
        <v>0.9,1,0.4</v>
      </c>
      <c r="O218">
        <v>6</v>
      </c>
      <c r="P218" s="2">
        <v>12</v>
      </c>
      <c r="Q218" s="2">
        <f t="shared" si="16"/>
        <v>0</v>
      </c>
    </row>
    <row r="219" spans="1:17" x14ac:dyDescent="0.2">
      <c r="A219" s="1">
        <f t="shared" si="14"/>
        <v>106121</v>
      </c>
      <c r="B219" s="3" t="str">
        <f>VLOOKUP(O219,BulletType!A$1:F$35,2)&amp;VLOOKUP(P219,BulletColor!A$1:C$25,3)</f>
        <v>针弹深黄</v>
      </c>
      <c r="C219" s="3" t="str">
        <f t="shared" si="15"/>
        <v>Bullet106120</v>
      </c>
      <c r="D219" s="2">
        <f>VLOOKUP(O219,BulletType!A$2:N267,9)</f>
        <v>0</v>
      </c>
      <c r="E219" s="2">
        <f>VLOOKUP(O219,BulletType!A$2:N267,10)</f>
        <v>0</v>
      </c>
      <c r="F219" s="3" t="str">
        <f>CONCATENATE(VLOOKUP(O219,BulletType!A$2:I$35,8),VLOOKUP(P219,BulletColor!A$2:D$16,4))</f>
        <v>Bullet200090</v>
      </c>
      <c r="G219" s="3" t="str">
        <f>VLOOKUP(O219,BulletType!A$1:G$35,7)</f>
        <v>1.6,0.404</v>
      </c>
      <c r="H219" s="2">
        <f t="shared" si="13"/>
        <v>1</v>
      </c>
      <c r="I219">
        <f>VLOOKUP(O219,BulletType!A$1:F$35,3)</f>
        <v>1</v>
      </c>
      <c r="J219">
        <f>VLOOKUP(O219,BulletType!A$1:F$35,4)</f>
        <v>0</v>
      </c>
      <c r="K219">
        <f>VLOOKUP(O219,BulletType!A$1:F$35,5)</f>
        <v>4.8</v>
      </c>
      <c r="L219">
        <f>VLOOKUP(O219,BulletType!A$1:F$35,5)</f>
        <v>4.8</v>
      </c>
      <c r="M219">
        <f>VLOOKUP(O219,BulletType!A$1:F$35,6)</f>
        <v>2.4</v>
      </c>
      <c r="N219" s="3" t="str">
        <f>VLOOKUP(P219,BulletColor!A$2:B242,2)</f>
        <v>0.9,1,0.4</v>
      </c>
      <c r="O219">
        <v>6</v>
      </c>
      <c r="P219" s="2">
        <v>12</v>
      </c>
      <c r="Q219" s="2">
        <f t="shared" si="16"/>
        <v>1</v>
      </c>
    </row>
    <row r="220" spans="1:17" x14ac:dyDescent="0.2">
      <c r="A220" s="1">
        <f t="shared" si="14"/>
        <v>106130</v>
      </c>
      <c r="B220" s="3" t="str">
        <f>VLOOKUP(O220,BulletType!A$1:F$35,2)&amp;VLOOKUP(P220,BulletColor!A$1:C$25,3)</f>
        <v>针弹浅黄</v>
      </c>
      <c r="C220" s="3" t="str">
        <f t="shared" si="15"/>
        <v>Bullet106130</v>
      </c>
      <c r="D220" s="2">
        <f>VLOOKUP(O220,BulletType!A$2:N268,9)</f>
        <v>0</v>
      </c>
      <c r="E220" s="2">
        <f>VLOOKUP(O220,BulletType!A$2:N268,10)</f>
        <v>0</v>
      </c>
      <c r="F220" s="3" t="str">
        <f>CONCATENATE(VLOOKUP(O220,BulletType!A$2:I$35,8),VLOOKUP(P220,BulletColor!A$2:D$16,4))</f>
        <v>Bullet200130</v>
      </c>
      <c r="G220" s="3" t="str">
        <f>VLOOKUP(O220,BulletType!A$1:G$35,7)</f>
        <v>1.6,0.404</v>
      </c>
      <c r="H220" s="2">
        <f t="shared" si="13"/>
        <v>0</v>
      </c>
      <c r="I220">
        <f>VLOOKUP(O220,BulletType!A$1:F$35,3)</f>
        <v>1</v>
      </c>
      <c r="J220">
        <f>VLOOKUP(O220,BulletType!A$1:F$35,4)</f>
        <v>0</v>
      </c>
      <c r="K220">
        <f>VLOOKUP(O220,BulletType!A$1:F$35,5)</f>
        <v>4.8</v>
      </c>
      <c r="L220">
        <f>VLOOKUP(O220,BulletType!A$1:F$35,5)</f>
        <v>4.8</v>
      </c>
      <c r="M220">
        <f>VLOOKUP(O220,BulletType!A$1:F$35,6)</f>
        <v>2.4</v>
      </c>
      <c r="N220" s="3" t="str">
        <f>VLOOKUP(P220,BulletColor!A$2:B243,2)</f>
        <v>0.9,1,0.4</v>
      </c>
      <c r="O220">
        <v>6</v>
      </c>
      <c r="P220" s="2">
        <v>13</v>
      </c>
      <c r="Q220" s="2">
        <f t="shared" si="16"/>
        <v>0</v>
      </c>
    </row>
    <row r="221" spans="1:17" x14ac:dyDescent="0.2">
      <c r="A221" s="1">
        <f t="shared" si="14"/>
        <v>106131</v>
      </c>
      <c r="B221" s="3" t="str">
        <f>VLOOKUP(O221,BulletType!A$1:F$35,2)&amp;VLOOKUP(P221,BulletColor!A$1:C$25,3)</f>
        <v>针弹浅黄</v>
      </c>
      <c r="C221" s="3" t="str">
        <f t="shared" si="15"/>
        <v>Bullet106130</v>
      </c>
      <c r="D221" s="2">
        <f>VLOOKUP(O221,BulletType!A$2:N269,9)</f>
        <v>0</v>
      </c>
      <c r="E221" s="2">
        <f>VLOOKUP(O221,BulletType!A$2:N269,10)</f>
        <v>0</v>
      </c>
      <c r="F221" s="3" t="str">
        <f>CONCATENATE(VLOOKUP(O221,BulletType!A$2:I$35,8),VLOOKUP(P221,BulletColor!A$2:D$16,4))</f>
        <v>Bullet200130</v>
      </c>
      <c r="G221" s="3" t="str">
        <f>VLOOKUP(O221,BulletType!A$1:G$35,7)</f>
        <v>1.6,0.404</v>
      </c>
      <c r="H221" s="2">
        <f t="shared" si="13"/>
        <v>1</v>
      </c>
      <c r="I221">
        <f>VLOOKUP(O221,BulletType!A$1:F$35,3)</f>
        <v>1</v>
      </c>
      <c r="J221">
        <f>VLOOKUP(O221,BulletType!A$1:F$35,4)</f>
        <v>0</v>
      </c>
      <c r="K221">
        <f>VLOOKUP(O221,BulletType!A$1:F$35,5)</f>
        <v>4.8</v>
      </c>
      <c r="L221">
        <f>VLOOKUP(O221,BulletType!A$1:F$35,5)</f>
        <v>4.8</v>
      </c>
      <c r="M221">
        <f>VLOOKUP(O221,BulletType!A$1:F$35,6)</f>
        <v>2.4</v>
      </c>
      <c r="N221" s="3" t="str">
        <f>VLOOKUP(P221,BulletColor!A$2:B244,2)</f>
        <v>0.9,1,0.4</v>
      </c>
      <c r="O221">
        <v>6</v>
      </c>
      <c r="P221" s="2">
        <v>13</v>
      </c>
      <c r="Q221" s="2">
        <f t="shared" si="16"/>
        <v>1</v>
      </c>
    </row>
    <row r="222" spans="1:17" x14ac:dyDescent="0.2">
      <c r="A222" s="1">
        <f t="shared" si="14"/>
        <v>106140</v>
      </c>
      <c r="B222" s="3" t="str">
        <f>VLOOKUP(O222,BulletType!A$1:F$35,2)&amp;VLOOKUP(P222,BulletColor!A$1:C$25,3)</f>
        <v>针弹棕黄</v>
      </c>
      <c r="C222" s="3" t="str">
        <f t="shared" si="15"/>
        <v>Bullet106140</v>
      </c>
      <c r="D222" s="2">
        <f>VLOOKUP(O222,BulletType!A$2:N270,9)</f>
        <v>0</v>
      </c>
      <c r="E222" s="2">
        <f>VLOOKUP(O222,BulletType!A$2:N270,10)</f>
        <v>0</v>
      </c>
      <c r="F222" s="3" t="str">
        <f>CONCATENATE(VLOOKUP(O222,BulletType!A$2:I$35,8),VLOOKUP(P222,BulletColor!A$2:D$16,4))</f>
        <v>Bullet200130</v>
      </c>
      <c r="G222" s="3" t="str">
        <f>VLOOKUP(O222,BulletType!A$1:G$35,7)</f>
        <v>1.6,0.404</v>
      </c>
      <c r="H222" s="2">
        <f t="shared" si="13"/>
        <v>0</v>
      </c>
      <c r="I222">
        <f>VLOOKUP(O222,BulletType!A$1:F$35,3)</f>
        <v>1</v>
      </c>
      <c r="J222">
        <f>VLOOKUP(O222,BulletType!A$1:F$35,4)</f>
        <v>0</v>
      </c>
      <c r="K222">
        <f>VLOOKUP(O222,BulletType!A$1:F$35,5)</f>
        <v>4.8</v>
      </c>
      <c r="L222">
        <f>VLOOKUP(O222,BulletType!A$1:F$35,5)</f>
        <v>4.8</v>
      </c>
      <c r="M222">
        <f>VLOOKUP(O222,BulletType!A$1:F$35,6)</f>
        <v>2.4</v>
      </c>
      <c r="N222" s="3" t="str">
        <f>VLOOKUP(P222,BulletColor!A$2:B245,2)</f>
        <v>0.9,1,0.4</v>
      </c>
      <c r="O222">
        <v>6</v>
      </c>
      <c r="P222" s="2">
        <v>14</v>
      </c>
      <c r="Q222" s="2">
        <f t="shared" si="16"/>
        <v>0</v>
      </c>
    </row>
    <row r="223" spans="1:17" x14ac:dyDescent="0.2">
      <c r="A223" s="1">
        <f t="shared" si="14"/>
        <v>106141</v>
      </c>
      <c r="B223" s="3" t="str">
        <f>VLOOKUP(O223,BulletType!A$1:F$35,2)&amp;VLOOKUP(P223,BulletColor!A$1:C$25,3)</f>
        <v>针弹棕黄</v>
      </c>
      <c r="C223" s="3" t="str">
        <f t="shared" si="15"/>
        <v>Bullet106140</v>
      </c>
      <c r="D223" s="2">
        <f>VLOOKUP(O223,BulletType!A$2:N271,9)</f>
        <v>0</v>
      </c>
      <c r="E223" s="2">
        <f>VLOOKUP(O223,BulletType!A$2:N271,10)</f>
        <v>0</v>
      </c>
      <c r="F223" s="3" t="str">
        <f>CONCATENATE(VLOOKUP(O223,BulletType!A$2:I$35,8),VLOOKUP(P223,BulletColor!A$2:D$16,4))</f>
        <v>Bullet200130</v>
      </c>
      <c r="G223" s="3" t="str">
        <f>VLOOKUP(O223,BulletType!A$1:G$35,7)</f>
        <v>1.6,0.404</v>
      </c>
      <c r="H223" s="2">
        <f t="shared" si="13"/>
        <v>1</v>
      </c>
      <c r="I223">
        <f>VLOOKUP(O223,BulletType!A$1:F$35,3)</f>
        <v>1</v>
      </c>
      <c r="J223">
        <f>VLOOKUP(O223,BulletType!A$1:F$35,4)</f>
        <v>0</v>
      </c>
      <c r="K223">
        <f>VLOOKUP(O223,BulletType!A$1:F$35,5)</f>
        <v>4.8</v>
      </c>
      <c r="L223">
        <f>VLOOKUP(O223,BulletType!A$1:F$35,5)</f>
        <v>4.8</v>
      </c>
      <c r="M223">
        <f>VLOOKUP(O223,BulletType!A$1:F$35,6)</f>
        <v>2.4</v>
      </c>
      <c r="N223" s="3" t="str">
        <f>VLOOKUP(P223,BulletColor!A$2:B246,2)</f>
        <v>0.9,1,0.4</v>
      </c>
      <c r="O223">
        <v>6</v>
      </c>
      <c r="P223" s="2">
        <v>14</v>
      </c>
      <c r="Q223" s="2">
        <f t="shared" si="16"/>
        <v>1</v>
      </c>
    </row>
    <row r="224" spans="1:17" x14ac:dyDescent="0.2">
      <c r="A224" s="1">
        <f t="shared" si="14"/>
        <v>106150</v>
      </c>
      <c r="B224" s="3" t="str">
        <f>VLOOKUP(O224,BulletType!A$1:F$35,2)&amp;VLOOKUP(P224,BulletColor!A$1:C$25,3)</f>
        <v>针弹白</v>
      </c>
      <c r="C224" s="3" t="str">
        <f t="shared" si="15"/>
        <v>Bullet106150</v>
      </c>
      <c r="D224" s="2">
        <f>VLOOKUP(O224,BulletType!A$2:N272,9)</f>
        <v>0</v>
      </c>
      <c r="E224" s="2">
        <f>VLOOKUP(O224,BulletType!A$2:N272,10)</f>
        <v>0</v>
      </c>
      <c r="F224" s="3" t="str">
        <f>CONCATENATE(VLOOKUP(O224,BulletType!A$2:I$35,8),VLOOKUP(P224,BulletColor!A$2:D$16,4))</f>
        <v>Bullet200130</v>
      </c>
      <c r="G224" s="3" t="str">
        <f>VLOOKUP(O224,BulletType!A$1:G$35,7)</f>
        <v>1.6,0.404</v>
      </c>
      <c r="H224" s="2">
        <f t="shared" si="13"/>
        <v>0</v>
      </c>
      <c r="I224">
        <f>VLOOKUP(O224,BulletType!A$1:F$35,3)</f>
        <v>1</v>
      </c>
      <c r="J224">
        <f>VLOOKUP(O224,BulletType!A$1:F$35,4)</f>
        <v>0</v>
      </c>
      <c r="K224">
        <f>VLOOKUP(O224,BulletType!A$1:F$35,5)</f>
        <v>4.8</v>
      </c>
      <c r="L224">
        <f>VLOOKUP(O224,BulletType!A$1:F$35,5)</f>
        <v>4.8</v>
      </c>
      <c r="M224">
        <f>VLOOKUP(O224,BulletType!A$1:F$35,6)</f>
        <v>2.4</v>
      </c>
      <c r="N224" s="3" t="str">
        <f>VLOOKUP(P224,BulletColor!A$2:B247,2)</f>
        <v>0.8,0.8,0.8</v>
      </c>
      <c r="O224">
        <v>6</v>
      </c>
      <c r="P224" s="2">
        <v>15</v>
      </c>
      <c r="Q224" s="2">
        <f t="shared" si="16"/>
        <v>0</v>
      </c>
    </row>
    <row r="225" spans="1:17" x14ac:dyDescent="0.2">
      <c r="A225" s="1">
        <f t="shared" si="14"/>
        <v>106151</v>
      </c>
      <c r="B225" s="3" t="str">
        <f>VLOOKUP(O225,BulletType!A$1:F$35,2)&amp;VLOOKUP(P225,BulletColor!A$1:C$25,3)</f>
        <v>针弹白</v>
      </c>
      <c r="C225" s="3" t="str">
        <f t="shared" si="15"/>
        <v>Bullet106150</v>
      </c>
      <c r="D225" s="2">
        <f>VLOOKUP(O225,BulletType!A$2:N273,9)</f>
        <v>0</v>
      </c>
      <c r="E225" s="2">
        <f>VLOOKUP(O225,BulletType!A$2:N273,10)</f>
        <v>0</v>
      </c>
      <c r="F225" s="3" t="str">
        <f>CONCATENATE(VLOOKUP(O225,BulletType!A$2:I$35,8),VLOOKUP(P225,BulletColor!A$2:D$16,4))</f>
        <v>Bullet200130</v>
      </c>
      <c r="G225" s="3" t="str">
        <f>VLOOKUP(O225,BulletType!A$1:G$35,7)</f>
        <v>1.6,0.404</v>
      </c>
      <c r="H225" s="2">
        <f t="shared" si="13"/>
        <v>1</v>
      </c>
      <c r="I225">
        <f>VLOOKUP(O225,BulletType!A$1:F$35,3)</f>
        <v>1</v>
      </c>
      <c r="J225">
        <f>VLOOKUP(O225,BulletType!A$1:F$35,4)</f>
        <v>0</v>
      </c>
      <c r="K225">
        <f>VLOOKUP(O225,BulletType!A$1:F$35,5)</f>
        <v>4.8</v>
      </c>
      <c r="L225">
        <f>VLOOKUP(O225,BulletType!A$1:F$35,5)</f>
        <v>4.8</v>
      </c>
      <c r="M225">
        <f>VLOOKUP(O225,BulletType!A$1:F$35,6)</f>
        <v>2.4</v>
      </c>
      <c r="N225" s="3" t="str">
        <f>VLOOKUP(P225,BulletColor!A$2:B248,2)</f>
        <v>0.8,0.8,0.8</v>
      </c>
      <c r="O225">
        <v>6</v>
      </c>
      <c r="P225" s="2">
        <v>15</v>
      </c>
      <c r="Q225" s="2">
        <f t="shared" si="16"/>
        <v>1</v>
      </c>
    </row>
    <row r="226" spans="1:17" x14ac:dyDescent="0.2">
      <c r="A226" s="1">
        <f t="shared" si="14"/>
        <v>107000</v>
      </c>
      <c r="B226" s="3" t="str">
        <f>VLOOKUP(O226,BulletType!A$1:F$35,2)&amp;VLOOKUP(P226,BulletColor!A$1:C$25,3)</f>
        <v>札弹灰</v>
      </c>
      <c r="C226" s="3" t="str">
        <f t="shared" si="15"/>
        <v>Bullet107000</v>
      </c>
      <c r="D226" s="2">
        <f>VLOOKUP(O226,BulletType!A$2:N274,9)</f>
        <v>0</v>
      </c>
      <c r="E226" s="2">
        <f>VLOOKUP(O226,BulletType!A$2:N274,10)</f>
        <v>0</v>
      </c>
      <c r="F226" s="3" t="str">
        <f>CONCATENATE(VLOOKUP(O226,BulletType!A$2:I$35,8),VLOOKUP(P226,BulletColor!A$2:D$16,4))</f>
        <v>Bullet200000</v>
      </c>
      <c r="G226" s="3" t="str">
        <f>VLOOKUP(O226,BulletType!A$1:G$35,7)</f>
        <v>3.2,0.8</v>
      </c>
      <c r="H226" s="2">
        <f t="shared" si="13"/>
        <v>0</v>
      </c>
      <c r="I226">
        <f>VLOOKUP(O226,BulletType!A$1:F$35,3)</f>
        <v>1</v>
      </c>
      <c r="J226">
        <f>VLOOKUP(O226,BulletType!A$1:F$35,4)</f>
        <v>0</v>
      </c>
      <c r="K226">
        <f>VLOOKUP(O226,BulletType!A$1:F$35,5)</f>
        <v>5.6</v>
      </c>
      <c r="L226">
        <f>VLOOKUP(O226,BulletType!A$1:F$35,5)</f>
        <v>5.6</v>
      </c>
      <c r="M226">
        <f>VLOOKUP(O226,BulletType!A$1:F$35,6)</f>
        <v>2.8</v>
      </c>
      <c r="N226" s="3" t="str">
        <f>VLOOKUP(P226,BulletColor!A$2:B249,2)</f>
        <v>0.5,0.5,0.5</v>
      </c>
      <c r="O226">
        <v>7</v>
      </c>
      <c r="P226" s="2">
        <v>0</v>
      </c>
      <c r="Q226" s="2">
        <f t="shared" si="16"/>
        <v>0</v>
      </c>
    </row>
    <row r="227" spans="1:17" x14ac:dyDescent="0.2">
      <c r="A227" s="1">
        <f t="shared" si="14"/>
        <v>107001</v>
      </c>
      <c r="B227" s="3" t="str">
        <f>VLOOKUP(O227,BulletType!A$1:F$35,2)&amp;VLOOKUP(P227,BulletColor!A$1:C$25,3)</f>
        <v>札弹灰</v>
      </c>
      <c r="C227" s="3" t="str">
        <f t="shared" si="15"/>
        <v>Bullet107000</v>
      </c>
      <c r="D227" s="2">
        <f>VLOOKUP(O227,BulletType!A$2:N275,9)</f>
        <v>0</v>
      </c>
      <c r="E227" s="2">
        <f>VLOOKUP(O227,BulletType!A$2:N275,10)</f>
        <v>0</v>
      </c>
      <c r="F227" s="3" t="str">
        <f>CONCATENATE(VLOOKUP(O227,BulletType!A$2:I$35,8),VLOOKUP(P227,BulletColor!A$2:D$16,4))</f>
        <v>Bullet200000</v>
      </c>
      <c r="G227" s="3" t="str">
        <f>VLOOKUP(O227,BulletType!A$1:G$35,7)</f>
        <v>3.2,0.8</v>
      </c>
      <c r="H227" s="2">
        <f t="shared" si="13"/>
        <v>1</v>
      </c>
      <c r="I227">
        <f>VLOOKUP(O227,BulletType!A$1:F$35,3)</f>
        <v>1</v>
      </c>
      <c r="J227">
        <f>VLOOKUP(O227,BulletType!A$1:F$35,4)</f>
        <v>0</v>
      </c>
      <c r="K227">
        <f>VLOOKUP(O227,BulletType!A$1:F$35,5)</f>
        <v>5.6</v>
      </c>
      <c r="L227">
        <f>VLOOKUP(O227,BulletType!A$1:F$35,5)</f>
        <v>5.6</v>
      </c>
      <c r="M227">
        <f>VLOOKUP(O227,BulletType!A$1:F$35,6)</f>
        <v>2.8</v>
      </c>
      <c r="N227" s="3" t="str">
        <f>VLOOKUP(P227,BulletColor!A$2:B250,2)</f>
        <v>0.5,0.5,0.5</v>
      </c>
      <c r="O227">
        <v>7</v>
      </c>
      <c r="P227" s="2">
        <v>0</v>
      </c>
      <c r="Q227" s="2">
        <f t="shared" si="16"/>
        <v>1</v>
      </c>
    </row>
    <row r="228" spans="1:17" x14ac:dyDescent="0.2">
      <c r="A228" s="1">
        <f t="shared" si="14"/>
        <v>107010</v>
      </c>
      <c r="B228" s="3" t="str">
        <f>VLOOKUP(O228,BulletType!A$1:F$35,2)&amp;VLOOKUP(P228,BulletColor!A$1:C$25,3)</f>
        <v>札弹深红</v>
      </c>
      <c r="C228" s="3" t="str">
        <f t="shared" si="15"/>
        <v>Bullet107010</v>
      </c>
      <c r="D228" s="2">
        <f>VLOOKUP(O228,BulletType!A$2:N276,9)</f>
        <v>0</v>
      </c>
      <c r="E228" s="2">
        <f>VLOOKUP(O228,BulletType!A$2:N276,10)</f>
        <v>0</v>
      </c>
      <c r="F228" s="3" t="str">
        <f>CONCATENATE(VLOOKUP(O228,BulletType!A$2:I$35,8),VLOOKUP(P228,BulletColor!A$2:D$16,4))</f>
        <v>Bullet200010</v>
      </c>
      <c r="G228" s="3" t="str">
        <f>VLOOKUP(O228,BulletType!A$1:G$35,7)</f>
        <v>3.2,0.8</v>
      </c>
      <c r="H228" s="2">
        <f t="shared" si="13"/>
        <v>0</v>
      </c>
      <c r="I228">
        <f>VLOOKUP(O228,BulletType!A$1:F$35,3)</f>
        <v>1</v>
      </c>
      <c r="J228">
        <f>VLOOKUP(O228,BulletType!A$1:F$35,4)</f>
        <v>0</v>
      </c>
      <c r="K228">
        <f>VLOOKUP(O228,BulletType!A$1:F$35,5)</f>
        <v>5.6</v>
      </c>
      <c r="L228">
        <f>VLOOKUP(O228,BulletType!A$1:F$35,5)</f>
        <v>5.6</v>
      </c>
      <c r="M228">
        <f>VLOOKUP(O228,BulletType!A$1:F$35,6)</f>
        <v>2.8</v>
      </c>
      <c r="N228" s="3" t="str">
        <f>VLOOKUP(P228,BulletColor!A$2:B251,2)</f>
        <v>0.625,0.3,0.3</v>
      </c>
      <c r="O228">
        <v>7</v>
      </c>
      <c r="P228" s="2">
        <v>1</v>
      </c>
      <c r="Q228" s="2">
        <f t="shared" si="16"/>
        <v>0</v>
      </c>
    </row>
    <row r="229" spans="1:17" x14ac:dyDescent="0.2">
      <c r="A229" s="1">
        <f t="shared" si="14"/>
        <v>107011</v>
      </c>
      <c r="B229" s="3" t="str">
        <f>VLOOKUP(O229,BulletType!A$1:F$35,2)&amp;VLOOKUP(P229,BulletColor!A$1:C$25,3)</f>
        <v>札弹深红</v>
      </c>
      <c r="C229" s="3" t="str">
        <f t="shared" si="15"/>
        <v>Bullet107010</v>
      </c>
      <c r="D229" s="2">
        <f>VLOOKUP(O229,BulletType!A$2:N277,9)</f>
        <v>0</v>
      </c>
      <c r="E229" s="2">
        <f>VLOOKUP(O229,BulletType!A$2:N277,10)</f>
        <v>0</v>
      </c>
      <c r="F229" s="3" t="str">
        <f>CONCATENATE(VLOOKUP(O229,BulletType!A$2:I$35,8),VLOOKUP(P229,BulletColor!A$2:D$16,4))</f>
        <v>Bullet200010</v>
      </c>
      <c r="G229" s="3" t="str">
        <f>VLOOKUP(O229,BulletType!A$1:G$35,7)</f>
        <v>3.2,0.8</v>
      </c>
      <c r="H229" s="2">
        <f t="shared" si="13"/>
        <v>1</v>
      </c>
      <c r="I229">
        <f>VLOOKUP(O229,BulletType!A$1:F$35,3)</f>
        <v>1</v>
      </c>
      <c r="J229">
        <f>VLOOKUP(O229,BulletType!A$1:F$35,4)</f>
        <v>0</v>
      </c>
      <c r="K229">
        <f>VLOOKUP(O229,BulletType!A$1:F$35,5)</f>
        <v>5.6</v>
      </c>
      <c r="L229">
        <f>VLOOKUP(O229,BulletType!A$1:F$35,5)</f>
        <v>5.6</v>
      </c>
      <c r="M229">
        <f>VLOOKUP(O229,BulletType!A$1:F$35,6)</f>
        <v>2.8</v>
      </c>
      <c r="N229" s="3" t="str">
        <f>VLOOKUP(P229,BulletColor!A$2:B252,2)</f>
        <v>0.625,0.3,0.3</v>
      </c>
      <c r="O229">
        <v>7</v>
      </c>
      <c r="P229" s="2">
        <v>1</v>
      </c>
      <c r="Q229" s="2">
        <f t="shared" si="16"/>
        <v>1</v>
      </c>
    </row>
    <row r="230" spans="1:17" x14ac:dyDescent="0.2">
      <c r="A230" s="1">
        <f t="shared" si="14"/>
        <v>107020</v>
      </c>
      <c r="B230" s="3" t="str">
        <f>VLOOKUP(O230,BulletType!A$1:F$35,2)&amp;VLOOKUP(P230,BulletColor!A$1:C$25,3)</f>
        <v>札弹红</v>
      </c>
      <c r="C230" s="3" t="str">
        <f t="shared" si="15"/>
        <v>Bullet107020</v>
      </c>
      <c r="D230" s="2">
        <f>VLOOKUP(O230,BulletType!A$2:N278,9)</f>
        <v>0</v>
      </c>
      <c r="E230" s="2">
        <f>VLOOKUP(O230,BulletType!A$2:N278,10)</f>
        <v>0</v>
      </c>
      <c r="F230" s="3" t="str">
        <f>CONCATENATE(VLOOKUP(O230,BulletType!A$2:I$35,8),VLOOKUP(P230,BulletColor!A$2:D$16,4))</f>
        <v>Bullet200010</v>
      </c>
      <c r="G230" s="3" t="str">
        <f>VLOOKUP(O230,BulletType!A$1:G$35,7)</f>
        <v>3.2,0.8</v>
      </c>
      <c r="H230" s="2">
        <f t="shared" si="13"/>
        <v>0</v>
      </c>
      <c r="I230">
        <f>VLOOKUP(O230,BulletType!A$1:F$35,3)</f>
        <v>1</v>
      </c>
      <c r="J230">
        <f>VLOOKUP(O230,BulletType!A$1:F$35,4)</f>
        <v>0</v>
      </c>
      <c r="K230">
        <f>VLOOKUP(O230,BulletType!A$1:F$35,5)</f>
        <v>5.6</v>
      </c>
      <c r="L230">
        <f>VLOOKUP(O230,BulletType!A$1:F$35,5)</f>
        <v>5.6</v>
      </c>
      <c r="M230">
        <f>VLOOKUP(O230,BulletType!A$1:F$35,6)</f>
        <v>2.8</v>
      </c>
      <c r="N230" s="3" t="str">
        <f>VLOOKUP(P230,BulletColor!A$2:B253,2)</f>
        <v>0.8,0.3,0.3</v>
      </c>
      <c r="O230">
        <v>7</v>
      </c>
      <c r="P230" s="2">
        <v>2</v>
      </c>
      <c r="Q230" s="2">
        <f t="shared" si="16"/>
        <v>0</v>
      </c>
    </row>
    <row r="231" spans="1:17" x14ac:dyDescent="0.2">
      <c r="A231" s="1">
        <f t="shared" si="14"/>
        <v>107021</v>
      </c>
      <c r="B231" s="3" t="str">
        <f>VLOOKUP(O231,BulletType!A$1:F$35,2)&amp;VLOOKUP(P231,BulletColor!A$1:C$25,3)</f>
        <v>札弹红</v>
      </c>
      <c r="C231" s="3" t="str">
        <f t="shared" si="15"/>
        <v>Bullet107020</v>
      </c>
      <c r="D231" s="2">
        <f>VLOOKUP(O231,BulletType!A$2:N279,9)</f>
        <v>0</v>
      </c>
      <c r="E231" s="2">
        <f>VLOOKUP(O231,BulletType!A$2:N279,10)</f>
        <v>0</v>
      </c>
      <c r="F231" s="3" t="str">
        <f>CONCATENATE(VLOOKUP(O231,BulletType!A$2:I$35,8),VLOOKUP(P231,BulletColor!A$2:D$16,4))</f>
        <v>Bullet200010</v>
      </c>
      <c r="G231" s="3" t="str">
        <f>VLOOKUP(O231,BulletType!A$1:G$35,7)</f>
        <v>3.2,0.8</v>
      </c>
      <c r="H231" s="2">
        <f t="shared" si="13"/>
        <v>1</v>
      </c>
      <c r="I231">
        <f>VLOOKUP(O231,BulletType!A$1:F$35,3)</f>
        <v>1</v>
      </c>
      <c r="J231">
        <f>VLOOKUP(O231,BulletType!A$1:F$35,4)</f>
        <v>0</v>
      </c>
      <c r="K231">
        <f>VLOOKUP(O231,BulletType!A$1:F$35,5)</f>
        <v>5.6</v>
      </c>
      <c r="L231">
        <f>VLOOKUP(O231,BulletType!A$1:F$35,5)</f>
        <v>5.6</v>
      </c>
      <c r="M231">
        <f>VLOOKUP(O231,BulletType!A$1:F$35,6)</f>
        <v>2.8</v>
      </c>
      <c r="N231" s="3" t="str">
        <f>VLOOKUP(P231,BulletColor!A$2:B254,2)</f>
        <v>0.8,0.3,0.3</v>
      </c>
      <c r="O231">
        <v>7</v>
      </c>
      <c r="P231" s="2">
        <v>2</v>
      </c>
      <c r="Q231" s="2">
        <f t="shared" si="16"/>
        <v>1</v>
      </c>
    </row>
    <row r="232" spans="1:17" x14ac:dyDescent="0.2">
      <c r="A232" s="1">
        <f t="shared" si="14"/>
        <v>107030</v>
      </c>
      <c r="B232" s="3" t="str">
        <f>VLOOKUP(O232,BulletType!A$1:F$35,2)&amp;VLOOKUP(P232,BulletColor!A$1:C$25,3)</f>
        <v>札弹深紫</v>
      </c>
      <c r="C232" s="3" t="str">
        <f t="shared" si="15"/>
        <v>Bullet107030</v>
      </c>
      <c r="D232" s="2">
        <f>VLOOKUP(O232,BulletType!A$2:N280,9)</f>
        <v>0</v>
      </c>
      <c r="E232" s="2">
        <f>VLOOKUP(O232,BulletType!A$2:N280,10)</f>
        <v>0</v>
      </c>
      <c r="F232" s="3" t="str">
        <f>CONCATENATE(VLOOKUP(O232,BulletType!A$2:I$35,8),VLOOKUP(P232,BulletColor!A$2:D$16,4))</f>
        <v>Bullet200030</v>
      </c>
      <c r="G232" s="3" t="str">
        <f>VLOOKUP(O232,BulletType!A$1:G$35,7)</f>
        <v>3.2,0.8</v>
      </c>
      <c r="H232" s="2">
        <f t="shared" si="13"/>
        <v>0</v>
      </c>
      <c r="I232">
        <f>VLOOKUP(O232,BulletType!A$1:F$35,3)</f>
        <v>1</v>
      </c>
      <c r="J232">
        <f>VLOOKUP(O232,BulletType!A$1:F$35,4)</f>
        <v>0</v>
      </c>
      <c r="K232">
        <f>VLOOKUP(O232,BulletType!A$1:F$35,5)</f>
        <v>5.6</v>
      </c>
      <c r="L232">
        <f>VLOOKUP(O232,BulletType!A$1:F$35,5)</f>
        <v>5.6</v>
      </c>
      <c r="M232">
        <f>VLOOKUP(O232,BulletType!A$1:F$35,6)</f>
        <v>2.8</v>
      </c>
      <c r="N232" s="3" t="str">
        <f>VLOOKUP(P232,BulletColor!A$2:B255,2)</f>
        <v>1,0.65,1</v>
      </c>
      <c r="O232">
        <v>7</v>
      </c>
      <c r="P232" s="2">
        <v>3</v>
      </c>
      <c r="Q232" s="2">
        <f t="shared" si="16"/>
        <v>0</v>
      </c>
    </row>
    <row r="233" spans="1:17" x14ac:dyDescent="0.2">
      <c r="A233" s="1">
        <f t="shared" si="14"/>
        <v>107031</v>
      </c>
      <c r="B233" s="3" t="str">
        <f>VLOOKUP(O233,BulletType!A$1:F$35,2)&amp;VLOOKUP(P233,BulletColor!A$1:C$25,3)</f>
        <v>札弹深紫</v>
      </c>
      <c r="C233" s="3" t="str">
        <f t="shared" si="15"/>
        <v>Bullet107030</v>
      </c>
      <c r="D233" s="2">
        <f>VLOOKUP(O233,BulletType!A$2:N281,9)</f>
        <v>0</v>
      </c>
      <c r="E233" s="2">
        <f>VLOOKUP(O233,BulletType!A$2:N281,10)</f>
        <v>0</v>
      </c>
      <c r="F233" s="3" t="str">
        <f>CONCATENATE(VLOOKUP(O233,BulletType!A$2:I$35,8),VLOOKUP(P233,BulletColor!A$2:D$16,4))</f>
        <v>Bullet200030</v>
      </c>
      <c r="G233" s="3" t="str">
        <f>VLOOKUP(O233,BulletType!A$1:G$35,7)</f>
        <v>3.2,0.8</v>
      </c>
      <c r="H233" s="2">
        <f t="shared" si="13"/>
        <v>1</v>
      </c>
      <c r="I233">
        <f>VLOOKUP(O233,BulletType!A$1:F$35,3)</f>
        <v>1</v>
      </c>
      <c r="J233">
        <f>VLOOKUP(O233,BulletType!A$1:F$35,4)</f>
        <v>0</v>
      </c>
      <c r="K233">
        <f>VLOOKUP(O233,BulletType!A$1:F$35,5)</f>
        <v>5.6</v>
      </c>
      <c r="L233">
        <f>VLOOKUP(O233,BulletType!A$1:F$35,5)</f>
        <v>5.6</v>
      </c>
      <c r="M233">
        <f>VLOOKUP(O233,BulletType!A$1:F$35,6)</f>
        <v>2.8</v>
      </c>
      <c r="N233" s="3" t="str">
        <f>VLOOKUP(P233,BulletColor!A$2:B256,2)</f>
        <v>1,0.65,1</v>
      </c>
      <c r="O233">
        <v>7</v>
      </c>
      <c r="P233" s="2">
        <v>3</v>
      </c>
      <c r="Q233" s="2">
        <f t="shared" si="16"/>
        <v>1</v>
      </c>
    </row>
    <row r="234" spans="1:17" x14ac:dyDescent="0.2">
      <c r="A234" s="1">
        <f t="shared" si="14"/>
        <v>107040</v>
      </c>
      <c r="B234" s="3" t="str">
        <f>VLOOKUP(O234,BulletType!A$1:F$35,2)&amp;VLOOKUP(P234,BulletColor!A$1:C$25,3)</f>
        <v>札弹紫</v>
      </c>
      <c r="C234" s="3" t="str">
        <f t="shared" si="15"/>
        <v>Bullet107040</v>
      </c>
      <c r="D234" s="2">
        <f>VLOOKUP(O234,BulletType!A$2:N282,9)</f>
        <v>0</v>
      </c>
      <c r="E234" s="2">
        <f>VLOOKUP(O234,BulletType!A$2:N282,10)</f>
        <v>0</v>
      </c>
      <c r="F234" s="3" t="str">
        <f>CONCATENATE(VLOOKUP(O234,BulletType!A$2:I$35,8),VLOOKUP(P234,BulletColor!A$2:D$16,4))</f>
        <v>Bullet200030</v>
      </c>
      <c r="G234" s="3" t="str">
        <f>VLOOKUP(O234,BulletType!A$1:G$35,7)</f>
        <v>3.2,0.8</v>
      </c>
      <c r="H234" s="2">
        <f t="shared" si="13"/>
        <v>0</v>
      </c>
      <c r="I234">
        <f>VLOOKUP(O234,BulletType!A$1:F$35,3)</f>
        <v>1</v>
      </c>
      <c r="J234">
        <f>VLOOKUP(O234,BulletType!A$1:F$35,4)</f>
        <v>0</v>
      </c>
      <c r="K234">
        <f>VLOOKUP(O234,BulletType!A$1:F$35,5)</f>
        <v>5.6</v>
      </c>
      <c r="L234">
        <f>VLOOKUP(O234,BulletType!A$1:F$35,5)</f>
        <v>5.6</v>
      </c>
      <c r="M234">
        <f>VLOOKUP(O234,BulletType!A$1:F$35,6)</f>
        <v>2.8</v>
      </c>
      <c r="N234" s="3" t="str">
        <f>VLOOKUP(P234,BulletColor!A$2:B257,2)</f>
        <v>1,0.65,1</v>
      </c>
      <c r="O234">
        <v>7</v>
      </c>
      <c r="P234" s="2">
        <v>4</v>
      </c>
      <c r="Q234" s="2">
        <f t="shared" si="16"/>
        <v>0</v>
      </c>
    </row>
    <row r="235" spans="1:17" x14ac:dyDescent="0.2">
      <c r="A235" s="1">
        <f t="shared" si="14"/>
        <v>107041</v>
      </c>
      <c r="B235" s="3" t="str">
        <f>VLOOKUP(O235,BulletType!A$1:F$35,2)&amp;VLOOKUP(P235,BulletColor!A$1:C$25,3)</f>
        <v>札弹紫</v>
      </c>
      <c r="C235" s="3" t="str">
        <f t="shared" si="15"/>
        <v>Bullet107040</v>
      </c>
      <c r="D235" s="2">
        <f>VLOOKUP(O235,BulletType!A$2:N283,9)</f>
        <v>0</v>
      </c>
      <c r="E235" s="2">
        <f>VLOOKUP(O235,BulletType!A$2:N283,10)</f>
        <v>0</v>
      </c>
      <c r="F235" s="3" t="str">
        <f>CONCATENATE(VLOOKUP(O235,BulletType!A$2:I$35,8),VLOOKUP(P235,BulletColor!A$2:D$16,4))</f>
        <v>Bullet200030</v>
      </c>
      <c r="G235" s="3" t="str">
        <f>VLOOKUP(O235,BulletType!A$1:G$35,7)</f>
        <v>3.2,0.8</v>
      </c>
      <c r="H235" s="2">
        <f t="shared" si="13"/>
        <v>1</v>
      </c>
      <c r="I235">
        <f>VLOOKUP(O235,BulletType!A$1:F$35,3)</f>
        <v>1</v>
      </c>
      <c r="J235">
        <f>VLOOKUP(O235,BulletType!A$1:F$35,4)</f>
        <v>0</v>
      </c>
      <c r="K235">
        <f>VLOOKUP(O235,BulletType!A$1:F$35,5)</f>
        <v>5.6</v>
      </c>
      <c r="L235">
        <f>VLOOKUP(O235,BulletType!A$1:F$35,5)</f>
        <v>5.6</v>
      </c>
      <c r="M235">
        <f>VLOOKUP(O235,BulletType!A$1:F$35,6)</f>
        <v>2.8</v>
      </c>
      <c r="N235" s="3" t="str">
        <f>VLOOKUP(P235,BulletColor!A$2:B258,2)</f>
        <v>1,0.65,1</v>
      </c>
      <c r="O235">
        <v>7</v>
      </c>
      <c r="P235" s="2">
        <v>4</v>
      </c>
      <c r="Q235" s="2">
        <f t="shared" si="16"/>
        <v>1</v>
      </c>
    </row>
    <row r="236" spans="1:17" x14ac:dyDescent="0.2">
      <c r="A236" s="1">
        <f t="shared" si="14"/>
        <v>107050</v>
      </c>
      <c r="B236" s="3" t="str">
        <f>VLOOKUP(O236,BulletType!A$1:F$35,2)&amp;VLOOKUP(P236,BulletColor!A$1:C$25,3)</f>
        <v>札弹深蓝</v>
      </c>
      <c r="C236" s="3" t="str">
        <f t="shared" si="15"/>
        <v>Bullet107050</v>
      </c>
      <c r="D236" s="2">
        <f>VLOOKUP(O236,BulletType!A$2:N284,9)</f>
        <v>0</v>
      </c>
      <c r="E236" s="2">
        <f>VLOOKUP(O236,BulletType!A$2:N284,10)</f>
        <v>0</v>
      </c>
      <c r="F236" s="3" t="str">
        <f>CONCATENATE(VLOOKUP(O236,BulletType!A$2:I$35,8),VLOOKUP(P236,BulletColor!A$2:D$16,4))</f>
        <v>Bullet200050</v>
      </c>
      <c r="G236" s="3" t="str">
        <f>VLOOKUP(O236,BulletType!A$1:G$35,7)</f>
        <v>3.2,0.8</v>
      </c>
      <c r="H236" s="2">
        <f t="shared" si="13"/>
        <v>0</v>
      </c>
      <c r="I236">
        <f>VLOOKUP(O236,BulletType!A$1:F$35,3)</f>
        <v>1</v>
      </c>
      <c r="J236">
        <f>VLOOKUP(O236,BulletType!A$1:F$35,4)</f>
        <v>0</v>
      </c>
      <c r="K236">
        <f>VLOOKUP(O236,BulletType!A$1:F$35,5)</f>
        <v>5.6</v>
      </c>
      <c r="L236">
        <f>VLOOKUP(O236,BulletType!A$1:F$35,5)</f>
        <v>5.6</v>
      </c>
      <c r="M236">
        <f>VLOOKUP(O236,BulletType!A$1:F$35,6)</f>
        <v>2.8</v>
      </c>
      <c r="N236" s="3" t="str">
        <f>VLOOKUP(P236,BulletColor!A$2:B259,2)</f>
        <v>0,0.1,1</v>
      </c>
      <c r="O236">
        <v>7</v>
      </c>
      <c r="P236" s="2">
        <v>5</v>
      </c>
      <c r="Q236" s="2">
        <f t="shared" si="16"/>
        <v>0</v>
      </c>
    </row>
    <row r="237" spans="1:17" x14ac:dyDescent="0.2">
      <c r="A237" s="1">
        <f t="shared" si="14"/>
        <v>107051</v>
      </c>
      <c r="B237" s="3" t="str">
        <f>VLOOKUP(O237,BulletType!A$1:F$35,2)&amp;VLOOKUP(P237,BulletColor!A$1:C$25,3)</f>
        <v>札弹深蓝</v>
      </c>
      <c r="C237" s="3" t="str">
        <f t="shared" si="15"/>
        <v>Bullet107050</v>
      </c>
      <c r="D237" s="2">
        <f>VLOOKUP(O237,BulletType!A$2:N285,9)</f>
        <v>0</v>
      </c>
      <c r="E237" s="2">
        <f>VLOOKUP(O237,BulletType!A$2:N285,10)</f>
        <v>0</v>
      </c>
      <c r="F237" s="3" t="str">
        <f>CONCATENATE(VLOOKUP(O237,BulletType!A$2:I$35,8),VLOOKUP(P237,BulletColor!A$2:D$16,4))</f>
        <v>Bullet200050</v>
      </c>
      <c r="G237" s="3" t="str">
        <f>VLOOKUP(O237,BulletType!A$1:G$35,7)</f>
        <v>3.2,0.8</v>
      </c>
      <c r="H237" s="2">
        <f t="shared" si="13"/>
        <v>1</v>
      </c>
      <c r="I237">
        <f>VLOOKUP(O237,BulletType!A$1:F$35,3)</f>
        <v>1</v>
      </c>
      <c r="J237">
        <f>VLOOKUP(O237,BulletType!A$1:F$35,4)</f>
        <v>0</v>
      </c>
      <c r="K237">
        <f>VLOOKUP(O237,BulletType!A$1:F$35,5)</f>
        <v>5.6</v>
      </c>
      <c r="L237">
        <f>VLOOKUP(O237,BulletType!A$1:F$35,5)</f>
        <v>5.6</v>
      </c>
      <c r="M237">
        <f>VLOOKUP(O237,BulletType!A$1:F$35,6)</f>
        <v>2.8</v>
      </c>
      <c r="N237" s="3" t="str">
        <f>VLOOKUP(P237,BulletColor!A$2:B260,2)</f>
        <v>0,0.1,1</v>
      </c>
      <c r="O237">
        <v>7</v>
      </c>
      <c r="P237" s="2">
        <v>5</v>
      </c>
      <c r="Q237" s="2">
        <f t="shared" si="16"/>
        <v>1</v>
      </c>
    </row>
    <row r="238" spans="1:17" x14ac:dyDescent="0.2">
      <c r="A238" s="1">
        <f t="shared" si="14"/>
        <v>107060</v>
      </c>
      <c r="B238" s="3" t="str">
        <f>VLOOKUP(O238,BulletType!A$1:F$35,2)&amp;VLOOKUP(P238,BulletColor!A$1:C$25,3)</f>
        <v>札弹蓝</v>
      </c>
      <c r="C238" s="3" t="str">
        <f t="shared" si="15"/>
        <v>Bullet107060</v>
      </c>
      <c r="D238" s="2">
        <f>VLOOKUP(O238,BulletType!A$2:N286,9)</f>
        <v>0</v>
      </c>
      <c r="E238" s="2">
        <f>VLOOKUP(O238,BulletType!A$2:N286,10)</f>
        <v>0</v>
      </c>
      <c r="F238" s="3" t="str">
        <f>CONCATENATE(VLOOKUP(O238,BulletType!A$2:I$35,8),VLOOKUP(P238,BulletColor!A$2:D$16,4))</f>
        <v>Bullet200050</v>
      </c>
      <c r="G238" s="3" t="str">
        <f>VLOOKUP(O238,BulletType!A$1:G$35,7)</f>
        <v>3.2,0.8</v>
      </c>
      <c r="H238" s="2">
        <f t="shared" si="13"/>
        <v>0</v>
      </c>
      <c r="I238">
        <f>VLOOKUP(O238,BulletType!A$1:F$35,3)</f>
        <v>1</v>
      </c>
      <c r="J238">
        <f>VLOOKUP(O238,BulletType!A$1:F$35,4)</f>
        <v>0</v>
      </c>
      <c r="K238">
        <f>VLOOKUP(O238,BulletType!A$1:F$35,5)</f>
        <v>5.6</v>
      </c>
      <c r="L238">
        <f>VLOOKUP(O238,BulletType!A$1:F$35,5)</f>
        <v>5.6</v>
      </c>
      <c r="M238">
        <f>VLOOKUP(O238,BulletType!A$1:F$35,6)</f>
        <v>2.8</v>
      </c>
      <c r="N238" s="3" t="str">
        <f>VLOOKUP(P238,BulletColor!A$2:B261,2)</f>
        <v>0,0.1,1</v>
      </c>
      <c r="O238">
        <v>7</v>
      </c>
      <c r="P238" s="2">
        <v>6</v>
      </c>
      <c r="Q238" s="2">
        <f t="shared" si="16"/>
        <v>0</v>
      </c>
    </row>
    <row r="239" spans="1:17" x14ac:dyDescent="0.2">
      <c r="A239" s="1">
        <f t="shared" si="14"/>
        <v>107061</v>
      </c>
      <c r="B239" s="3" t="str">
        <f>VLOOKUP(O239,BulletType!A$1:F$35,2)&amp;VLOOKUP(P239,BulletColor!A$1:C$25,3)</f>
        <v>札弹蓝</v>
      </c>
      <c r="C239" s="3" t="str">
        <f t="shared" si="15"/>
        <v>Bullet107060</v>
      </c>
      <c r="D239" s="2">
        <f>VLOOKUP(O239,BulletType!A$2:N287,9)</f>
        <v>0</v>
      </c>
      <c r="E239" s="2">
        <f>VLOOKUP(O239,BulletType!A$2:N287,10)</f>
        <v>0</v>
      </c>
      <c r="F239" s="3" t="str">
        <f>CONCATENATE(VLOOKUP(O239,BulletType!A$2:I$35,8),VLOOKUP(P239,BulletColor!A$2:D$16,4))</f>
        <v>Bullet200050</v>
      </c>
      <c r="G239" s="3" t="str">
        <f>VLOOKUP(O239,BulletType!A$1:G$35,7)</f>
        <v>3.2,0.8</v>
      </c>
      <c r="H239" s="2">
        <f t="shared" si="13"/>
        <v>1</v>
      </c>
      <c r="I239">
        <f>VLOOKUP(O239,BulletType!A$1:F$35,3)</f>
        <v>1</v>
      </c>
      <c r="J239">
        <f>VLOOKUP(O239,BulletType!A$1:F$35,4)</f>
        <v>0</v>
      </c>
      <c r="K239">
        <f>VLOOKUP(O239,BulletType!A$1:F$35,5)</f>
        <v>5.6</v>
      </c>
      <c r="L239">
        <f>VLOOKUP(O239,BulletType!A$1:F$35,5)</f>
        <v>5.6</v>
      </c>
      <c r="M239">
        <f>VLOOKUP(O239,BulletType!A$1:F$35,6)</f>
        <v>2.8</v>
      </c>
      <c r="N239" s="3" t="str">
        <f>VLOOKUP(P239,BulletColor!A$2:B262,2)</f>
        <v>0,0.1,1</v>
      </c>
      <c r="O239">
        <v>7</v>
      </c>
      <c r="P239" s="2">
        <v>6</v>
      </c>
      <c r="Q239" s="2">
        <f t="shared" si="16"/>
        <v>1</v>
      </c>
    </row>
    <row r="240" spans="1:17" x14ac:dyDescent="0.2">
      <c r="A240" s="1">
        <f t="shared" si="14"/>
        <v>107070</v>
      </c>
      <c r="B240" s="3" t="str">
        <f>VLOOKUP(O240,BulletType!A$1:F$35,2)&amp;VLOOKUP(P240,BulletColor!A$1:C$25,3)</f>
        <v>札弹深青</v>
      </c>
      <c r="C240" s="3" t="str">
        <f t="shared" si="15"/>
        <v>Bullet107070</v>
      </c>
      <c r="D240" s="2">
        <f>VLOOKUP(O240,BulletType!A$2:N288,9)</f>
        <v>0</v>
      </c>
      <c r="E240" s="2">
        <f>VLOOKUP(O240,BulletType!A$2:N288,10)</f>
        <v>0</v>
      </c>
      <c r="F240" s="3" t="str">
        <f>CONCATENATE(VLOOKUP(O240,BulletType!A$2:I$35,8),VLOOKUP(P240,BulletColor!A$2:D$16,4))</f>
        <v>Bullet200070</v>
      </c>
      <c r="G240" s="3" t="str">
        <f>VLOOKUP(O240,BulletType!A$1:G$35,7)</f>
        <v>3.2,0.8</v>
      </c>
      <c r="H240" s="2">
        <f t="shared" si="13"/>
        <v>0</v>
      </c>
      <c r="I240">
        <f>VLOOKUP(O240,BulletType!A$1:F$35,3)</f>
        <v>1</v>
      </c>
      <c r="J240">
        <f>VLOOKUP(O240,BulletType!A$1:F$35,4)</f>
        <v>0</v>
      </c>
      <c r="K240">
        <f>VLOOKUP(O240,BulletType!A$1:F$35,5)</f>
        <v>5.6</v>
      </c>
      <c r="L240">
        <f>VLOOKUP(O240,BulletType!A$1:F$35,5)</f>
        <v>5.6</v>
      </c>
      <c r="M240">
        <f>VLOOKUP(O240,BulletType!A$1:F$35,6)</f>
        <v>2.8</v>
      </c>
      <c r="N240" s="3" t="str">
        <f>VLOOKUP(P240,BulletColor!A$2:B263,2)</f>
        <v>0.25,1,1</v>
      </c>
      <c r="O240">
        <v>7</v>
      </c>
      <c r="P240" s="2">
        <v>7</v>
      </c>
      <c r="Q240" s="2">
        <f t="shared" si="16"/>
        <v>0</v>
      </c>
    </row>
    <row r="241" spans="1:17" x14ac:dyDescent="0.2">
      <c r="A241" s="1">
        <f t="shared" si="14"/>
        <v>107071</v>
      </c>
      <c r="B241" s="3" t="str">
        <f>VLOOKUP(O241,BulletType!A$1:F$35,2)&amp;VLOOKUP(P241,BulletColor!A$1:C$25,3)</f>
        <v>札弹深青</v>
      </c>
      <c r="C241" s="3" t="str">
        <f t="shared" si="15"/>
        <v>Bullet107070</v>
      </c>
      <c r="D241" s="2">
        <f>VLOOKUP(O241,BulletType!A$2:N289,9)</f>
        <v>0</v>
      </c>
      <c r="E241" s="2">
        <f>VLOOKUP(O241,BulletType!A$2:N289,10)</f>
        <v>0</v>
      </c>
      <c r="F241" s="3" t="str">
        <f>CONCATENATE(VLOOKUP(O241,BulletType!A$2:I$35,8),VLOOKUP(P241,BulletColor!A$2:D$16,4))</f>
        <v>Bullet200070</v>
      </c>
      <c r="G241" s="3" t="str">
        <f>VLOOKUP(O241,BulletType!A$1:G$35,7)</f>
        <v>3.2,0.8</v>
      </c>
      <c r="H241" s="2">
        <f t="shared" si="13"/>
        <v>1</v>
      </c>
      <c r="I241">
        <f>VLOOKUP(O241,BulletType!A$1:F$35,3)</f>
        <v>1</v>
      </c>
      <c r="J241">
        <f>VLOOKUP(O241,BulletType!A$1:F$35,4)</f>
        <v>0</v>
      </c>
      <c r="K241">
        <f>VLOOKUP(O241,BulletType!A$1:F$35,5)</f>
        <v>5.6</v>
      </c>
      <c r="L241">
        <f>VLOOKUP(O241,BulletType!A$1:F$35,5)</f>
        <v>5.6</v>
      </c>
      <c r="M241">
        <f>VLOOKUP(O241,BulletType!A$1:F$35,6)</f>
        <v>2.8</v>
      </c>
      <c r="N241" s="3" t="str">
        <f>VLOOKUP(P241,BulletColor!A$2:B264,2)</f>
        <v>0.25,1,1</v>
      </c>
      <c r="O241">
        <v>7</v>
      </c>
      <c r="P241" s="2">
        <v>7</v>
      </c>
      <c r="Q241" s="2">
        <f t="shared" si="16"/>
        <v>1</v>
      </c>
    </row>
    <row r="242" spans="1:17" x14ac:dyDescent="0.2">
      <c r="A242" s="1">
        <f t="shared" si="14"/>
        <v>107080</v>
      </c>
      <c r="B242" s="3" t="str">
        <f>VLOOKUP(O242,BulletType!A$1:F$35,2)&amp;VLOOKUP(P242,BulletColor!A$1:C$25,3)</f>
        <v>札弹青</v>
      </c>
      <c r="C242" s="3" t="str">
        <f t="shared" si="15"/>
        <v>Bullet107080</v>
      </c>
      <c r="D242" s="2">
        <f>VLOOKUP(O242,BulletType!A$2:N290,9)</f>
        <v>0</v>
      </c>
      <c r="E242" s="2">
        <f>VLOOKUP(O242,BulletType!A$2:N290,10)</f>
        <v>0</v>
      </c>
      <c r="F242" s="3" t="str">
        <f>CONCATENATE(VLOOKUP(O242,BulletType!A$2:I$35,8),VLOOKUP(P242,BulletColor!A$2:D$16,4))</f>
        <v>Bullet200070</v>
      </c>
      <c r="G242" s="3" t="str">
        <f>VLOOKUP(O242,BulletType!A$1:G$35,7)</f>
        <v>3.2,0.8</v>
      </c>
      <c r="H242" s="2">
        <f t="shared" si="13"/>
        <v>0</v>
      </c>
      <c r="I242">
        <f>VLOOKUP(O242,BulletType!A$1:F$35,3)</f>
        <v>1</v>
      </c>
      <c r="J242">
        <f>VLOOKUP(O242,BulletType!A$1:F$35,4)</f>
        <v>0</v>
      </c>
      <c r="K242">
        <f>VLOOKUP(O242,BulletType!A$1:F$35,5)</f>
        <v>5.6</v>
      </c>
      <c r="L242">
        <f>VLOOKUP(O242,BulletType!A$1:F$35,5)</f>
        <v>5.6</v>
      </c>
      <c r="M242">
        <f>VLOOKUP(O242,BulletType!A$1:F$35,6)</f>
        <v>2.8</v>
      </c>
      <c r="N242" s="3" t="str">
        <f>VLOOKUP(P242,BulletColor!A$2:B265,2)</f>
        <v>0.25,1,1</v>
      </c>
      <c r="O242">
        <v>7</v>
      </c>
      <c r="P242" s="2">
        <v>8</v>
      </c>
      <c r="Q242" s="2">
        <f t="shared" si="16"/>
        <v>0</v>
      </c>
    </row>
    <row r="243" spans="1:17" x14ac:dyDescent="0.2">
      <c r="A243" s="1">
        <f t="shared" si="14"/>
        <v>107081</v>
      </c>
      <c r="B243" s="3" t="str">
        <f>VLOOKUP(O243,BulletType!A$1:F$35,2)&amp;VLOOKUP(P243,BulletColor!A$1:C$25,3)</f>
        <v>札弹青</v>
      </c>
      <c r="C243" s="3" t="str">
        <f t="shared" si="15"/>
        <v>Bullet107080</v>
      </c>
      <c r="D243" s="2">
        <f>VLOOKUP(O243,BulletType!A$2:N291,9)</f>
        <v>0</v>
      </c>
      <c r="E243" s="2">
        <f>VLOOKUP(O243,BulletType!A$2:N291,10)</f>
        <v>0</v>
      </c>
      <c r="F243" s="3" t="str">
        <f>CONCATENATE(VLOOKUP(O243,BulletType!A$2:I$35,8),VLOOKUP(P243,BulletColor!A$2:D$16,4))</f>
        <v>Bullet200070</v>
      </c>
      <c r="G243" s="3" t="str">
        <f>VLOOKUP(O243,BulletType!A$1:G$35,7)</f>
        <v>3.2,0.8</v>
      </c>
      <c r="H243" s="2">
        <f t="shared" si="13"/>
        <v>1</v>
      </c>
      <c r="I243">
        <f>VLOOKUP(O243,BulletType!A$1:F$35,3)</f>
        <v>1</v>
      </c>
      <c r="J243">
        <f>VLOOKUP(O243,BulletType!A$1:F$35,4)</f>
        <v>0</v>
      </c>
      <c r="K243">
        <f>VLOOKUP(O243,BulletType!A$1:F$35,5)</f>
        <v>5.6</v>
      </c>
      <c r="L243">
        <f>VLOOKUP(O243,BulletType!A$1:F$35,5)</f>
        <v>5.6</v>
      </c>
      <c r="M243">
        <f>VLOOKUP(O243,BulletType!A$1:F$35,6)</f>
        <v>2.8</v>
      </c>
      <c r="N243" s="3" t="str">
        <f>VLOOKUP(P243,BulletColor!A$2:B266,2)</f>
        <v>0.25,1,1</v>
      </c>
      <c r="O243">
        <v>7</v>
      </c>
      <c r="P243" s="2">
        <v>8</v>
      </c>
      <c r="Q243" s="2">
        <f t="shared" si="16"/>
        <v>1</v>
      </c>
    </row>
    <row r="244" spans="1:17" x14ac:dyDescent="0.2">
      <c r="A244" s="1">
        <f t="shared" si="14"/>
        <v>107090</v>
      </c>
      <c r="B244" s="3" t="str">
        <f>VLOOKUP(O244,BulletType!A$1:F$35,2)&amp;VLOOKUP(P244,BulletColor!A$1:C$25,3)</f>
        <v>札弹深绿</v>
      </c>
      <c r="C244" s="3" t="str">
        <f t="shared" si="15"/>
        <v>Bullet107090</v>
      </c>
      <c r="D244" s="2">
        <f>VLOOKUP(O244,BulletType!A$2:N292,9)</f>
        <v>0</v>
      </c>
      <c r="E244" s="2">
        <f>VLOOKUP(O244,BulletType!A$2:N292,10)</f>
        <v>0</v>
      </c>
      <c r="F244" s="3" t="str">
        <f>CONCATENATE(VLOOKUP(O244,BulletType!A$2:I$35,8),VLOOKUP(P244,BulletColor!A$2:D$16,4))</f>
        <v>Bullet200090</v>
      </c>
      <c r="G244" s="3" t="str">
        <f>VLOOKUP(O244,BulletType!A$1:G$35,7)</f>
        <v>3.2,0.8</v>
      </c>
      <c r="H244" s="2">
        <f t="shared" si="13"/>
        <v>0</v>
      </c>
      <c r="I244">
        <f>VLOOKUP(O244,BulletType!A$1:F$35,3)</f>
        <v>1</v>
      </c>
      <c r="J244">
        <f>VLOOKUP(O244,BulletType!A$1:F$35,4)</f>
        <v>0</v>
      </c>
      <c r="K244">
        <f>VLOOKUP(O244,BulletType!A$1:F$35,5)</f>
        <v>5.6</v>
      </c>
      <c r="L244">
        <f>VLOOKUP(O244,BulletType!A$1:F$35,5)</f>
        <v>5.6</v>
      </c>
      <c r="M244">
        <f>VLOOKUP(O244,BulletType!A$1:F$35,6)</f>
        <v>2.8</v>
      </c>
      <c r="N244" s="3" t="str">
        <f>VLOOKUP(P244,BulletColor!A$2:B267,2)</f>
        <v>0.36,0.78,1</v>
      </c>
      <c r="O244">
        <v>7</v>
      </c>
      <c r="P244" s="2">
        <v>9</v>
      </c>
      <c r="Q244" s="2">
        <f t="shared" si="16"/>
        <v>0</v>
      </c>
    </row>
    <row r="245" spans="1:17" x14ac:dyDescent="0.2">
      <c r="A245" s="1">
        <f t="shared" si="14"/>
        <v>107091</v>
      </c>
      <c r="B245" s="3" t="str">
        <f>VLOOKUP(O245,BulletType!A$1:F$35,2)&amp;VLOOKUP(P245,BulletColor!A$1:C$25,3)</f>
        <v>札弹深绿</v>
      </c>
      <c r="C245" s="3" t="str">
        <f t="shared" si="15"/>
        <v>Bullet107090</v>
      </c>
      <c r="D245" s="2">
        <f>VLOOKUP(O245,BulletType!A$2:N293,9)</f>
        <v>0</v>
      </c>
      <c r="E245" s="2">
        <f>VLOOKUP(O245,BulletType!A$2:N293,10)</f>
        <v>0</v>
      </c>
      <c r="F245" s="3" t="str">
        <f>CONCATENATE(VLOOKUP(O245,BulletType!A$2:I$35,8),VLOOKUP(P245,BulletColor!A$2:D$16,4))</f>
        <v>Bullet200090</v>
      </c>
      <c r="G245" s="3" t="str">
        <f>VLOOKUP(O245,BulletType!A$1:G$35,7)</f>
        <v>3.2,0.8</v>
      </c>
      <c r="H245" s="2">
        <f t="shared" si="13"/>
        <v>1</v>
      </c>
      <c r="I245">
        <f>VLOOKUP(O245,BulletType!A$1:F$35,3)</f>
        <v>1</v>
      </c>
      <c r="J245">
        <f>VLOOKUP(O245,BulletType!A$1:F$35,4)</f>
        <v>0</v>
      </c>
      <c r="K245">
        <f>VLOOKUP(O245,BulletType!A$1:F$35,5)</f>
        <v>5.6</v>
      </c>
      <c r="L245">
        <f>VLOOKUP(O245,BulletType!A$1:F$35,5)</f>
        <v>5.6</v>
      </c>
      <c r="M245">
        <f>VLOOKUP(O245,BulletType!A$1:F$35,6)</f>
        <v>2.8</v>
      </c>
      <c r="N245" s="3" t="str">
        <f>VLOOKUP(P245,BulletColor!A$2:B268,2)</f>
        <v>0.36,0.78,1</v>
      </c>
      <c r="O245">
        <v>7</v>
      </c>
      <c r="P245" s="2">
        <v>9</v>
      </c>
      <c r="Q245" s="2">
        <f t="shared" si="16"/>
        <v>1</v>
      </c>
    </row>
    <row r="246" spans="1:17" x14ac:dyDescent="0.2">
      <c r="A246" s="1">
        <f t="shared" si="14"/>
        <v>107100</v>
      </c>
      <c r="B246" s="3" t="str">
        <f>VLOOKUP(O246,BulletType!A$1:F$35,2)&amp;VLOOKUP(P246,BulletColor!A$1:C$25,3)</f>
        <v>札弹绿</v>
      </c>
      <c r="C246" s="3" t="str">
        <f t="shared" si="15"/>
        <v>Bullet107100</v>
      </c>
      <c r="D246" s="2">
        <f>VLOOKUP(O246,BulletType!A$2:N294,9)</f>
        <v>0</v>
      </c>
      <c r="E246" s="2">
        <f>VLOOKUP(O246,BulletType!A$2:N294,10)</f>
        <v>0</v>
      </c>
      <c r="F246" s="3" t="str">
        <f>CONCATENATE(VLOOKUP(O246,BulletType!A$2:I$35,8),VLOOKUP(P246,BulletColor!A$2:D$16,4))</f>
        <v>Bullet200090</v>
      </c>
      <c r="G246" s="3" t="str">
        <f>VLOOKUP(O246,BulletType!A$1:G$35,7)</f>
        <v>3.2,0.8</v>
      </c>
      <c r="H246" s="2">
        <f t="shared" si="13"/>
        <v>0</v>
      </c>
      <c r="I246">
        <f>VLOOKUP(O246,BulletType!A$1:F$35,3)</f>
        <v>1</v>
      </c>
      <c r="J246">
        <f>VLOOKUP(O246,BulletType!A$1:F$35,4)</f>
        <v>0</v>
      </c>
      <c r="K246">
        <f>VLOOKUP(O246,BulletType!A$1:F$35,5)</f>
        <v>5.6</v>
      </c>
      <c r="L246">
        <f>VLOOKUP(O246,BulletType!A$1:F$35,5)</f>
        <v>5.6</v>
      </c>
      <c r="M246">
        <f>VLOOKUP(O246,BulletType!A$1:F$35,6)</f>
        <v>2.8</v>
      </c>
      <c r="N246" s="3" t="str">
        <f>VLOOKUP(P246,BulletColor!A$2:B269,2)</f>
        <v>0.36,0.78,1</v>
      </c>
      <c r="O246">
        <v>7</v>
      </c>
      <c r="P246" s="2">
        <v>10</v>
      </c>
      <c r="Q246" s="2">
        <f t="shared" si="16"/>
        <v>0</v>
      </c>
    </row>
    <row r="247" spans="1:17" x14ac:dyDescent="0.2">
      <c r="A247" s="1">
        <f t="shared" si="14"/>
        <v>107101</v>
      </c>
      <c r="B247" s="3" t="str">
        <f>VLOOKUP(O247,BulletType!A$1:F$35,2)&amp;VLOOKUP(P247,BulletColor!A$1:C$25,3)</f>
        <v>札弹绿</v>
      </c>
      <c r="C247" s="3" t="str">
        <f t="shared" si="15"/>
        <v>Bullet107100</v>
      </c>
      <c r="D247" s="2">
        <f>VLOOKUP(O247,BulletType!A$2:N295,9)</f>
        <v>0</v>
      </c>
      <c r="E247" s="2">
        <f>VLOOKUP(O247,BulletType!A$2:N295,10)</f>
        <v>0</v>
      </c>
      <c r="F247" s="3" t="str">
        <f>CONCATENATE(VLOOKUP(O247,BulletType!A$2:I$35,8),VLOOKUP(P247,BulletColor!A$2:D$16,4))</f>
        <v>Bullet200090</v>
      </c>
      <c r="G247" s="3" t="str">
        <f>VLOOKUP(O247,BulletType!A$1:G$35,7)</f>
        <v>3.2,0.8</v>
      </c>
      <c r="H247" s="2">
        <f t="shared" si="13"/>
        <v>1</v>
      </c>
      <c r="I247">
        <f>VLOOKUP(O247,BulletType!A$1:F$35,3)</f>
        <v>1</v>
      </c>
      <c r="J247">
        <f>VLOOKUP(O247,BulletType!A$1:F$35,4)</f>
        <v>0</v>
      </c>
      <c r="K247">
        <f>VLOOKUP(O247,BulletType!A$1:F$35,5)</f>
        <v>5.6</v>
      </c>
      <c r="L247">
        <f>VLOOKUP(O247,BulletType!A$1:F$35,5)</f>
        <v>5.6</v>
      </c>
      <c r="M247">
        <f>VLOOKUP(O247,BulletType!A$1:F$35,6)</f>
        <v>2.8</v>
      </c>
      <c r="N247" s="3" t="str">
        <f>VLOOKUP(P247,BulletColor!A$2:B270,2)</f>
        <v>0.36,0.78,1</v>
      </c>
      <c r="O247">
        <v>7</v>
      </c>
      <c r="P247" s="2">
        <v>10</v>
      </c>
      <c r="Q247" s="2">
        <f t="shared" si="16"/>
        <v>1</v>
      </c>
    </row>
    <row r="248" spans="1:17" x14ac:dyDescent="0.2">
      <c r="A248" s="1">
        <f t="shared" si="14"/>
        <v>107110</v>
      </c>
      <c r="B248" s="3" t="str">
        <f>VLOOKUP(O248,BulletType!A$1:F$35,2)&amp;VLOOKUP(P248,BulletColor!A$1:C$25,3)</f>
        <v>札弹黄绿</v>
      </c>
      <c r="C248" s="3" t="str">
        <f t="shared" si="15"/>
        <v>Bullet107110</v>
      </c>
      <c r="D248" s="2">
        <f>VLOOKUP(O248,BulletType!A$2:N296,9)</f>
        <v>0</v>
      </c>
      <c r="E248" s="2">
        <f>VLOOKUP(O248,BulletType!A$2:N296,10)</f>
        <v>0</v>
      </c>
      <c r="F248" s="3" t="str">
        <f>CONCATENATE(VLOOKUP(O248,BulletType!A$2:I$35,8),VLOOKUP(P248,BulletColor!A$2:D$16,4))</f>
        <v>Bullet200090</v>
      </c>
      <c r="G248" s="3" t="str">
        <f>VLOOKUP(O248,BulletType!A$1:G$35,7)</f>
        <v>3.2,0.8</v>
      </c>
      <c r="H248" s="2">
        <f t="shared" si="13"/>
        <v>0</v>
      </c>
      <c r="I248">
        <f>VLOOKUP(O248,BulletType!A$1:F$35,3)</f>
        <v>1</v>
      </c>
      <c r="J248">
        <f>VLOOKUP(O248,BulletType!A$1:F$35,4)</f>
        <v>0</v>
      </c>
      <c r="K248">
        <f>VLOOKUP(O248,BulletType!A$1:F$35,5)</f>
        <v>5.6</v>
      </c>
      <c r="L248">
        <f>VLOOKUP(O248,BulletType!A$1:F$35,5)</f>
        <v>5.6</v>
      </c>
      <c r="M248">
        <f>VLOOKUP(O248,BulletType!A$1:F$35,6)</f>
        <v>2.8</v>
      </c>
      <c r="N248" s="3" t="str">
        <f>VLOOKUP(P248,BulletColor!A$2:B271,2)</f>
        <v>0.9,1,0.4</v>
      </c>
      <c r="O248">
        <v>7</v>
      </c>
      <c r="P248" s="2">
        <v>11</v>
      </c>
      <c r="Q248" s="2">
        <f t="shared" si="16"/>
        <v>0</v>
      </c>
    </row>
    <row r="249" spans="1:17" x14ac:dyDescent="0.2">
      <c r="A249" s="1">
        <f t="shared" si="14"/>
        <v>107111</v>
      </c>
      <c r="B249" s="3" t="str">
        <f>VLOOKUP(O249,BulletType!A$1:F$35,2)&amp;VLOOKUP(P249,BulletColor!A$1:C$25,3)</f>
        <v>札弹黄绿</v>
      </c>
      <c r="C249" s="3" t="str">
        <f t="shared" si="15"/>
        <v>Bullet107110</v>
      </c>
      <c r="D249" s="2">
        <f>VLOOKUP(O249,BulletType!A$2:N297,9)</f>
        <v>0</v>
      </c>
      <c r="E249" s="2">
        <f>VLOOKUP(O249,BulletType!A$2:N297,10)</f>
        <v>0</v>
      </c>
      <c r="F249" s="3" t="str">
        <f>CONCATENATE(VLOOKUP(O249,BulletType!A$2:I$35,8),VLOOKUP(P249,BulletColor!A$2:D$16,4))</f>
        <v>Bullet200090</v>
      </c>
      <c r="G249" s="3" t="str">
        <f>VLOOKUP(O249,BulletType!A$1:G$35,7)</f>
        <v>3.2,0.8</v>
      </c>
      <c r="H249" s="2">
        <f t="shared" si="13"/>
        <v>1</v>
      </c>
      <c r="I249">
        <f>VLOOKUP(O249,BulletType!A$1:F$35,3)</f>
        <v>1</v>
      </c>
      <c r="J249">
        <f>VLOOKUP(O249,BulletType!A$1:F$35,4)</f>
        <v>0</v>
      </c>
      <c r="K249">
        <f>VLOOKUP(O249,BulletType!A$1:F$35,5)</f>
        <v>5.6</v>
      </c>
      <c r="L249">
        <f>VLOOKUP(O249,BulletType!A$1:F$35,5)</f>
        <v>5.6</v>
      </c>
      <c r="M249">
        <f>VLOOKUP(O249,BulletType!A$1:F$35,6)</f>
        <v>2.8</v>
      </c>
      <c r="N249" s="3" t="str">
        <f>VLOOKUP(P249,BulletColor!A$2:B272,2)</f>
        <v>0.9,1,0.4</v>
      </c>
      <c r="O249">
        <v>7</v>
      </c>
      <c r="P249" s="2">
        <v>11</v>
      </c>
      <c r="Q249" s="2">
        <f t="shared" si="16"/>
        <v>1</v>
      </c>
    </row>
    <row r="250" spans="1:17" x14ac:dyDescent="0.2">
      <c r="A250" s="1">
        <f t="shared" si="14"/>
        <v>107120</v>
      </c>
      <c r="B250" s="3" t="str">
        <f>VLOOKUP(O250,BulletType!A$1:F$35,2)&amp;VLOOKUP(P250,BulletColor!A$1:C$25,3)</f>
        <v>札弹深黄</v>
      </c>
      <c r="C250" s="3" t="str">
        <f t="shared" si="15"/>
        <v>Bullet107120</v>
      </c>
      <c r="D250" s="2">
        <f>VLOOKUP(O250,BulletType!A$2:N298,9)</f>
        <v>0</v>
      </c>
      <c r="E250" s="2">
        <f>VLOOKUP(O250,BulletType!A$2:N298,10)</f>
        <v>0</v>
      </c>
      <c r="F250" s="3" t="str">
        <f>CONCATENATE(VLOOKUP(O250,BulletType!A$2:I$35,8),VLOOKUP(P250,BulletColor!A$2:D$16,4))</f>
        <v>Bullet200090</v>
      </c>
      <c r="G250" s="3" t="str">
        <f>VLOOKUP(O250,BulletType!A$1:G$35,7)</f>
        <v>3.2,0.8</v>
      </c>
      <c r="H250" s="2">
        <f t="shared" si="13"/>
        <v>0</v>
      </c>
      <c r="I250">
        <f>VLOOKUP(O250,BulletType!A$1:F$35,3)</f>
        <v>1</v>
      </c>
      <c r="J250">
        <f>VLOOKUP(O250,BulletType!A$1:F$35,4)</f>
        <v>0</v>
      </c>
      <c r="K250">
        <f>VLOOKUP(O250,BulletType!A$1:F$35,5)</f>
        <v>5.6</v>
      </c>
      <c r="L250">
        <f>VLOOKUP(O250,BulletType!A$1:F$35,5)</f>
        <v>5.6</v>
      </c>
      <c r="M250">
        <f>VLOOKUP(O250,BulletType!A$1:F$35,6)</f>
        <v>2.8</v>
      </c>
      <c r="N250" s="3" t="str">
        <f>VLOOKUP(P250,BulletColor!A$2:B273,2)</f>
        <v>0.9,1,0.4</v>
      </c>
      <c r="O250">
        <v>7</v>
      </c>
      <c r="P250" s="2">
        <v>12</v>
      </c>
      <c r="Q250" s="2">
        <f t="shared" si="16"/>
        <v>0</v>
      </c>
    </row>
    <row r="251" spans="1:17" x14ac:dyDescent="0.2">
      <c r="A251" s="1">
        <f t="shared" si="14"/>
        <v>107121</v>
      </c>
      <c r="B251" s="3" t="str">
        <f>VLOOKUP(O251,BulletType!A$1:F$35,2)&amp;VLOOKUP(P251,BulletColor!A$1:C$25,3)</f>
        <v>札弹深黄</v>
      </c>
      <c r="C251" s="3" t="str">
        <f t="shared" si="15"/>
        <v>Bullet107120</v>
      </c>
      <c r="D251" s="2">
        <f>VLOOKUP(O251,BulletType!A$2:N299,9)</f>
        <v>0</v>
      </c>
      <c r="E251" s="2">
        <f>VLOOKUP(O251,BulletType!A$2:N299,10)</f>
        <v>0</v>
      </c>
      <c r="F251" s="3" t="str">
        <f>CONCATENATE(VLOOKUP(O251,BulletType!A$2:I$35,8),VLOOKUP(P251,BulletColor!A$2:D$16,4))</f>
        <v>Bullet200090</v>
      </c>
      <c r="G251" s="3" t="str">
        <f>VLOOKUP(O251,BulletType!A$1:G$35,7)</f>
        <v>3.2,0.8</v>
      </c>
      <c r="H251" s="2">
        <f t="shared" si="13"/>
        <v>1</v>
      </c>
      <c r="I251">
        <f>VLOOKUP(O251,BulletType!A$1:F$35,3)</f>
        <v>1</v>
      </c>
      <c r="J251">
        <f>VLOOKUP(O251,BulletType!A$1:F$35,4)</f>
        <v>0</v>
      </c>
      <c r="K251">
        <f>VLOOKUP(O251,BulletType!A$1:F$35,5)</f>
        <v>5.6</v>
      </c>
      <c r="L251">
        <f>VLOOKUP(O251,BulletType!A$1:F$35,5)</f>
        <v>5.6</v>
      </c>
      <c r="M251">
        <f>VLOOKUP(O251,BulletType!A$1:F$35,6)</f>
        <v>2.8</v>
      </c>
      <c r="N251" s="3" t="str">
        <f>VLOOKUP(P251,BulletColor!A$2:B274,2)</f>
        <v>0.9,1,0.4</v>
      </c>
      <c r="O251">
        <v>7</v>
      </c>
      <c r="P251" s="2">
        <v>12</v>
      </c>
      <c r="Q251" s="2">
        <f t="shared" si="16"/>
        <v>1</v>
      </c>
    </row>
    <row r="252" spans="1:17" x14ac:dyDescent="0.2">
      <c r="A252" s="1">
        <f t="shared" si="14"/>
        <v>107130</v>
      </c>
      <c r="B252" s="3" t="str">
        <f>VLOOKUP(O252,BulletType!A$1:F$35,2)&amp;VLOOKUP(P252,BulletColor!A$1:C$25,3)</f>
        <v>札弹浅黄</v>
      </c>
      <c r="C252" s="3" t="str">
        <f t="shared" si="15"/>
        <v>Bullet107130</v>
      </c>
      <c r="D252" s="2">
        <f>VLOOKUP(O252,BulletType!A$2:N300,9)</f>
        <v>0</v>
      </c>
      <c r="E252" s="2">
        <f>VLOOKUP(O252,BulletType!A$2:N300,10)</f>
        <v>0</v>
      </c>
      <c r="F252" s="3" t="str">
        <f>CONCATENATE(VLOOKUP(O252,BulletType!A$2:I$35,8),VLOOKUP(P252,BulletColor!A$2:D$16,4))</f>
        <v>Bullet200130</v>
      </c>
      <c r="G252" s="3" t="str">
        <f>VLOOKUP(O252,BulletType!A$1:G$35,7)</f>
        <v>3.2,0.8</v>
      </c>
      <c r="H252" s="2">
        <f t="shared" si="13"/>
        <v>0</v>
      </c>
      <c r="I252">
        <f>VLOOKUP(O252,BulletType!A$1:F$35,3)</f>
        <v>1</v>
      </c>
      <c r="J252">
        <f>VLOOKUP(O252,BulletType!A$1:F$35,4)</f>
        <v>0</v>
      </c>
      <c r="K252">
        <f>VLOOKUP(O252,BulletType!A$1:F$35,5)</f>
        <v>5.6</v>
      </c>
      <c r="L252">
        <f>VLOOKUP(O252,BulletType!A$1:F$35,5)</f>
        <v>5.6</v>
      </c>
      <c r="M252">
        <f>VLOOKUP(O252,BulletType!A$1:F$35,6)</f>
        <v>2.8</v>
      </c>
      <c r="N252" s="3" t="str">
        <f>VLOOKUP(P252,BulletColor!A$2:B275,2)</f>
        <v>0.9,1,0.4</v>
      </c>
      <c r="O252">
        <v>7</v>
      </c>
      <c r="P252" s="2">
        <v>13</v>
      </c>
      <c r="Q252" s="2">
        <f t="shared" si="16"/>
        <v>0</v>
      </c>
    </row>
    <row r="253" spans="1:17" x14ac:dyDescent="0.2">
      <c r="A253" s="1">
        <f t="shared" si="14"/>
        <v>107131</v>
      </c>
      <c r="B253" s="3" t="str">
        <f>VLOOKUP(O253,BulletType!A$1:F$35,2)&amp;VLOOKUP(P253,BulletColor!A$1:C$25,3)</f>
        <v>札弹浅黄</v>
      </c>
      <c r="C253" s="3" t="str">
        <f t="shared" si="15"/>
        <v>Bullet107130</v>
      </c>
      <c r="D253" s="2">
        <f>VLOOKUP(O253,BulletType!A$2:N301,9)</f>
        <v>0</v>
      </c>
      <c r="E253" s="2">
        <f>VLOOKUP(O253,BulletType!A$2:N301,10)</f>
        <v>0</v>
      </c>
      <c r="F253" s="3" t="str">
        <f>CONCATENATE(VLOOKUP(O253,BulletType!A$2:I$35,8),VLOOKUP(P253,BulletColor!A$2:D$16,4))</f>
        <v>Bullet200130</v>
      </c>
      <c r="G253" s="3" t="str">
        <f>VLOOKUP(O253,BulletType!A$1:G$35,7)</f>
        <v>3.2,0.8</v>
      </c>
      <c r="H253" s="2">
        <f t="shared" si="13"/>
        <v>1</v>
      </c>
      <c r="I253">
        <f>VLOOKUP(O253,BulletType!A$1:F$35,3)</f>
        <v>1</v>
      </c>
      <c r="J253">
        <f>VLOOKUP(O253,BulletType!A$1:F$35,4)</f>
        <v>0</v>
      </c>
      <c r="K253">
        <f>VLOOKUP(O253,BulletType!A$1:F$35,5)</f>
        <v>5.6</v>
      </c>
      <c r="L253">
        <f>VLOOKUP(O253,BulletType!A$1:F$35,5)</f>
        <v>5.6</v>
      </c>
      <c r="M253">
        <f>VLOOKUP(O253,BulletType!A$1:F$35,6)</f>
        <v>2.8</v>
      </c>
      <c r="N253" s="3" t="str">
        <f>VLOOKUP(P253,BulletColor!A$2:B276,2)</f>
        <v>0.9,1,0.4</v>
      </c>
      <c r="O253">
        <v>7</v>
      </c>
      <c r="P253" s="2">
        <v>13</v>
      </c>
      <c r="Q253" s="2">
        <f t="shared" si="16"/>
        <v>1</v>
      </c>
    </row>
    <row r="254" spans="1:17" x14ac:dyDescent="0.2">
      <c r="A254" s="1">
        <f t="shared" si="14"/>
        <v>107140</v>
      </c>
      <c r="B254" s="3" t="str">
        <f>VLOOKUP(O254,BulletType!A$1:F$35,2)&amp;VLOOKUP(P254,BulletColor!A$1:C$25,3)</f>
        <v>札弹棕黄</v>
      </c>
      <c r="C254" s="3" t="str">
        <f t="shared" si="15"/>
        <v>Bullet107140</v>
      </c>
      <c r="D254" s="2">
        <f>VLOOKUP(O254,BulletType!A$2:N302,9)</f>
        <v>0</v>
      </c>
      <c r="E254" s="2">
        <f>VLOOKUP(O254,BulletType!A$2:N302,10)</f>
        <v>0</v>
      </c>
      <c r="F254" s="3" t="str">
        <f>CONCATENATE(VLOOKUP(O254,BulletType!A$2:I$35,8),VLOOKUP(P254,BulletColor!A$2:D$16,4))</f>
        <v>Bullet200130</v>
      </c>
      <c r="G254" s="3" t="str">
        <f>VLOOKUP(O254,BulletType!A$1:G$35,7)</f>
        <v>3.2,0.8</v>
      </c>
      <c r="H254" s="2">
        <f t="shared" si="13"/>
        <v>0</v>
      </c>
      <c r="I254">
        <f>VLOOKUP(O254,BulletType!A$1:F$35,3)</f>
        <v>1</v>
      </c>
      <c r="J254">
        <f>VLOOKUP(O254,BulletType!A$1:F$35,4)</f>
        <v>0</v>
      </c>
      <c r="K254">
        <f>VLOOKUP(O254,BulletType!A$1:F$35,5)</f>
        <v>5.6</v>
      </c>
      <c r="L254">
        <f>VLOOKUP(O254,BulletType!A$1:F$35,5)</f>
        <v>5.6</v>
      </c>
      <c r="M254">
        <f>VLOOKUP(O254,BulletType!A$1:F$35,6)</f>
        <v>2.8</v>
      </c>
      <c r="N254" s="3" t="str">
        <f>VLOOKUP(P254,BulletColor!A$2:B277,2)</f>
        <v>0.9,1,0.4</v>
      </c>
      <c r="O254">
        <v>7</v>
      </c>
      <c r="P254" s="2">
        <v>14</v>
      </c>
      <c r="Q254" s="2">
        <f t="shared" si="16"/>
        <v>0</v>
      </c>
    </row>
    <row r="255" spans="1:17" x14ac:dyDescent="0.2">
      <c r="A255" s="1">
        <f t="shared" si="14"/>
        <v>107141</v>
      </c>
      <c r="B255" s="3" t="str">
        <f>VLOOKUP(O255,BulletType!A$1:F$35,2)&amp;VLOOKUP(P255,BulletColor!A$1:C$25,3)</f>
        <v>札弹棕黄</v>
      </c>
      <c r="C255" s="3" t="str">
        <f t="shared" si="15"/>
        <v>Bullet107140</v>
      </c>
      <c r="D255" s="2">
        <f>VLOOKUP(O255,BulletType!A$2:N303,9)</f>
        <v>0</v>
      </c>
      <c r="E255" s="2">
        <f>VLOOKUP(O255,BulletType!A$2:N303,10)</f>
        <v>0</v>
      </c>
      <c r="F255" s="3" t="str">
        <f>CONCATENATE(VLOOKUP(O255,BulletType!A$2:I$35,8),VLOOKUP(P255,BulletColor!A$2:D$16,4))</f>
        <v>Bullet200130</v>
      </c>
      <c r="G255" s="3" t="str">
        <f>VLOOKUP(O255,BulletType!A$1:G$35,7)</f>
        <v>3.2,0.8</v>
      </c>
      <c r="H255" s="2">
        <f t="shared" si="13"/>
        <v>1</v>
      </c>
      <c r="I255">
        <f>VLOOKUP(O255,BulletType!A$1:F$35,3)</f>
        <v>1</v>
      </c>
      <c r="J255">
        <f>VLOOKUP(O255,BulletType!A$1:F$35,4)</f>
        <v>0</v>
      </c>
      <c r="K255">
        <f>VLOOKUP(O255,BulletType!A$1:F$35,5)</f>
        <v>5.6</v>
      </c>
      <c r="L255">
        <f>VLOOKUP(O255,BulletType!A$1:F$35,5)</f>
        <v>5.6</v>
      </c>
      <c r="M255">
        <f>VLOOKUP(O255,BulletType!A$1:F$35,6)</f>
        <v>2.8</v>
      </c>
      <c r="N255" s="3" t="str">
        <f>VLOOKUP(P255,BulletColor!A$2:B278,2)</f>
        <v>0.9,1,0.4</v>
      </c>
      <c r="O255">
        <v>7</v>
      </c>
      <c r="P255" s="2">
        <v>14</v>
      </c>
      <c r="Q255" s="2">
        <f t="shared" si="16"/>
        <v>1</v>
      </c>
    </row>
    <row r="256" spans="1:17" x14ac:dyDescent="0.2">
      <c r="A256" s="1">
        <f t="shared" si="14"/>
        <v>107150</v>
      </c>
      <c r="B256" s="3" t="str">
        <f>VLOOKUP(O256,BulletType!A$1:F$35,2)&amp;VLOOKUP(P256,BulletColor!A$1:C$25,3)</f>
        <v>札弹白</v>
      </c>
      <c r="C256" s="3" t="str">
        <f t="shared" si="15"/>
        <v>Bullet107150</v>
      </c>
      <c r="D256" s="2">
        <f>VLOOKUP(O256,BulletType!A$2:N304,9)</f>
        <v>0</v>
      </c>
      <c r="E256" s="2">
        <f>VLOOKUP(O256,BulletType!A$2:N304,10)</f>
        <v>0</v>
      </c>
      <c r="F256" s="3" t="str">
        <f>CONCATENATE(VLOOKUP(O256,BulletType!A$2:I$35,8),VLOOKUP(P256,BulletColor!A$2:D$16,4))</f>
        <v>Bullet200130</v>
      </c>
      <c r="G256" s="3" t="str">
        <f>VLOOKUP(O256,BulletType!A$1:G$35,7)</f>
        <v>3.2,0.8</v>
      </c>
      <c r="H256" s="2">
        <f t="shared" si="13"/>
        <v>0</v>
      </c>
      <c r="I256">
        <f>VLOOKUP(O256,BulletType!A$1:F$35,3)</f>
        <v>1</v>
      </c>
      <c r="J256">
        <f>VLOOKUP(O256,BulletType!A$1:F$35,4)</f>
        <v>0</v>
      </c>
      <c r="K256">
        <f>VLOOKUP(O256,BulletType!A$1:F$35,5)</f>
        <v>5.6</v>
      </c>
      <c r="L256">
        <f>VLOOKUP(O256,BulletType!A$1:F$35,5)</f>
        <v>5.6</v>
      </c>
      <c r="M256">
        <f>VLOOKUP(O256,BulletType!A$1:F$35,6)</f>
        <v>2.8</v>
      </c>
      <c r="N256" s="3" t="str">
        <f>VLOOKUP(P256,BulletColor!A$2:B279,2)</f>
        <v>0.8,0.8,0.8</v>
      </c>
      <c r="O256">
        <v>7</v>
      </c>
      <c r="P256" s="2">
        <v>15</v>
      </c>
      <c r="Q256" s="2">
        <f t="shared" si="16"/>
        <v>0</v>
      </c>
    </row>
    <row r="257" spans="1:17" x14ac:dyDescent="0.2">
      <c r="A257" s="1">
        <f t="shared" si="14"/>
        <v>107151</v>
      </c>
      <c r="B257" s="3" t="str">
        <f>VLOOKUP(O257,BulletType!A$1:F$35,2)&amp;VLOOKUP(P257,BulletColor!A$1:C$25,3)</f>
        <v>札弹白</v>
      </c>
      <c r="C257" s="3" t="str">
        <f t="shared" si="15"/>
        <v>Bullet107150</v>
      </c>
      <c r="D257" s="2">
        <f>VLOOKUP(O257,BulletType!A$2:N305,9)</f>
        <v>0</v>
      </c>
      <c r="E257" s="2">
        <f>VLOOKUP(O257,BulletType!A$2:N305,10)</f>
        <v>0</v>
      </c>
      <c r="F257" s="3" t="str">
        <f>CONCATENATE(VLOOKUP(O257,BulletType!A$2:I$35,8),VLOOKUP(P257,BulletColor!A$2:D$16,4))</f>
        <v>Bullet200130</v>
      </c>
      <c r="G257" s="3" t="str">
        <f>VLOOKUP(O257,BulletType!A$1:G$35,7)</f>
        <v>3.2,0.8</v>
      </c>
      <c r="H257" s="2">
        <f t="shared" si="13"/>
        <v>1</v>
      </c>
      <c r="I257">
        <f>VLOOKUP(O257,BulletType!A$1:F$35,3)</f>
        <v>1</v>
      </c>
      <c r="J257">
        <f>VLOOKUP(O257,BulletType!A$1:F$35,4)</f>
        <v>0</v>
      </c>
      <c r="K257">
        <f>VLOOKUP(O257,BulletType!A$1:F$35,5)</f>
        <v>5.6</v>
      </c>
      <c r="L257">
        <f>VLOOKUP(O257,BulletType!A$1:F$35,5)</f>
        <v>5.6</v>
      </c>
      <c r="M257">
        <f>VLOOKUP(O257,BulletType!A$1:F$35,6)</f>
        <v>2.8</v>
      </c>
      <c r="N257" s="3" t="str">
        <f>VLOOKUP(P257,BulletColor!A$2:B280,2)</f>
        <v>0.8,0.8,0.8</v>
      </c>
      <c r="O257">
        <v>7</v>
      </c>
      <c r="P257" s="2">
        <v>15</v>
      </c>
      <c r="Q257" s="2">
        <f t="shared" si="16"/>
        <v>1</v>
      </c>
    </row>
    <row r="258" spans="1:17" x14ac:dyDescent="0.2">
      <c r="A258" s="1">
        <f t="shared" si="14"/>
        <v>108000</v>
      </c>
      <c r="B258" s="3" t="str">
        <f>VLOOKUP(O258,BulletType!A$1:F$35,2)&amp;VLOOKUP(P258,BulletColor!A$1:C$25,3)</f>
        <v>鳞弹 灰</v>
      </c>
      <c r="C258" s="3" t="str">
        <f t="shared" si="15"/>
        <v>Bullet108000</v>
      </c>
      <c r="D258" s="2">
        <f>VLOOKUP(O258,BulletType!A$2:N306,9)</f>
        <v>0</v>
      </c>
      <c r="E258" s="2">
        <f>VLOOKUP(O258,BulletType!A$2:N306,10)</f>
        <v>0</v>
      </c>
      <c r="F258" s="3" t="str">
        <f>CONCATENATE(VLOOKUP(O258,BulletType!A$2:I$35,8),VLOOKUP(P258,BulletColor!A$2:D$16,4))</f>
        <v>Bullet200000</v>
      </c>
      <c r="G258" s="3" t="str">
        <f>VLOOKUP(O258,BulletType!A$1:G$35,7)</f>
        <v>2.4,0.6</v>
      </c>
      <c r="H258" s="2">
        <f t="shared" ref="H258:H321" si="17">INT(Q258)</f>
        <v>0</v>
      </c>
      <c r="I258">
        <f>VLOOKUP(O258,BulletType!A$1:F$35,3)</f>
        <v>1</v>
      </c>
      <c r="J258">
        <f>VLOOKUP(O258,BulletType!A$1:F$35,4)</f>
        <v>0</v>
      </c>
      <c r="K258">
        <f>VLOOKUP(O258,BulletType!A$1:F$35,5)</f>
        <v>4.8</v>
      </c>
      <c r="L258">
        <f>VLOOKUP(O258,BulletType!A$1:F$35,5)</f>
        <v>4.8</v>
      </c>
      <c r="M258">
        <f>VLOOKUP(O258,BulletType!A$1:F$35,6)</f>
        <v>2.4</v>
      </c>
      <c r="N258" s="3" t="str">
        <f>VLOOKUP(P258,BulletColor!A$2:B281,2)</f>
        <v>0.5,0.5,0.5</v>
      </c>
      <c r="O258">
        <v>8</v>
      </c>
      <c r="P258" s="2">
        <v>0</v>
      </c>
      <c r="Q258" s="2">
        <f t="shared" si="16"/>
        <v>0</v>
      </c>
    </row>
    <row r="259" spans="1:17" x14ac:dyDescent="0.2">
      <c r="A259" s="1">
        <f t="shared" ref="A259:A322" si="18">VALUE(CONCATENATE(1,(REPT(0,2-LEN(O259))&amp;O259),REPT(0,2-LEN(P259))&amp;(P259),Q259))</f>
        <v>108001</v>
      </c>
      <c r="B259" s="3" t="str">
        <f>VLOOKUP(O259,BulletType!A$1:F$35,2)&amp;VLOOKUP(P259,BulletColor!A$1:C$25,3)</f>
        <v>鳞弹 灰</v>
      </c>
      <c r="C259" s="3" t="str">
        <f t="shared" ref="C259:C322" si="19">CONCATENATE("Bullet",INT(A259/10)*10)</f>
        <v>Bullet108000</v>
      </c>
      <c r="D259" s="2">
        <f>VLOOKUP(O259,BulletType!A$2:N307,9)</f>
        <v>0</v>
      </c>
      <c r="E259" s="2">
        <f>VLOOKUP(O259,BulletType!A$2:N307,10)</f>
        <v>0</v>
      </c>
      <c r="F259" s="3" t="str">
        <f>CONCATENATE(VLOOKUP(O259,BulletType!A$2:I$35,8),VLOOKUP(P259,BulletColor!A$2:D$16,4))</f>
        <v>Bullet200000</v>
      </c>
      <c r="G259" s="3" t="str">
        <f>VLOOKUP(O259,BulletType!A$1:G$35,7)</f>
        <v>2.4,0.6</v>
      </c>
      <c r="H259" s="2">
        <f t="shared" si="17"/>
        <v>1</v>
      </c>
      <c r="I259">
        <f>VLOOKUP(O259,BulletType!A$1:F$35,3)</f>
        <v>1</v>
      </c>
      <c r="J259">
        <f>VLOOKUP(O259,BulletType!A$1:F$35,4)</f>
        <v>0</v>
      </c>
      <c r="K259">
        <f>VLOOKUP(O259,BulletType!A$1:F$35,5)</f>
        <v>4.8</v>
      </c>
      <c r="L259">
        <f>VLOOKUP(O259,BulletType!A$1:F$35,5)</f>
        <v>4.8</v>
      </c>
      <c r="M259">
        <f>VLOOKUP(O259,BulletType!A$1:F$35,6)</f>
        <v>2.4</v>
      </c>
      <c r="N259" s="3" t="str">
        <f>VLOOKUP(P259,BulletColor!A$2:B282,2)</f>
        <v>0.5,0.5,0.5</v>
      </c>
      <c r="O259">
        <v>8</v>
      </c>
      <c r="P259" s="2">
        <v>0</v>
      </c>
      <c r="Q259" s="2">
        <f t="shared" si="16"/>
        <v>1</v>
      </c>
    </row>
    <row r="260" spans="1:17" x14ac:dyDescent="0.2">
      <c r="A260" s="1">
        <f t="shared" si="18"/>
        <v>108010</v>
      </c>
      <c r="B260" s="3" t="str">
        <f>VLOOKUP(O260,BulletType!A$1:F$35,2)&amp;VLOOKUP(P260,BulletColor!A$1:C$25,3)</f>
        <v>鳞弹 深红</v>
      </c>
      <c r="C260" s="3" t="str">
        <f t="shared" si="19"/>
        <v>Bullet108010</v>
      </c>
      <c r="D260" s="2">
        <f>VLOOKUP(O260,BulletType!A$2:N308,9)</f>
        <v>0</v>
      </c>
      <c r="E260" s="2">
        <f>VLOOKUP(O260,BulletType!A$2:N308,10)</f>
        <v>0</v>
      </c>
      <c r="F260" s="3" t="str">
        <f>CONCATENATE(VLOOKUP(O260,BulletType!A$2:I$35,8),VLOOKUP(P260,BulletColor!A$2:D$16,4))</f>
        <v>Bullet200010</v>
      </c>
      <c r="G260" s="3" t="str">
        <f>VLOOKUP(O260,BulletType!A$1:G$35,7)</f>
        <v>2.4,0.6</v>
      </c>
      <c r="H260" s="2">
        <f t="shared" si="17"/>
        <v>0</v>
      </c>
      <c r="I260">
        <f>VLOOKUP(O260,BulletType!A$1:F$35,3)</f>
        <v>1</v>
      </c>
      <c r="J260">
        <f>VLOOKUP(O260,BulletType!A$1:F$35,4)</f>
        <v>0</v>
      </c>
      <c r="K260">
        <f>VLOOKUP(O260,BulletType!A$1:F$35,5)</f>
        <v>4.8</v>
      </c>
      <c r="L260">
        <f>VLOOKUP(O260,BulletType!A$1:F$35,5)</f>
        <v>4.8</v>
      </c>
      <c r="M260">
        <f>VLOOKUP(O260,BulletType!A$1:F$35,6)</f>
        <v>2.4</v>
      </c>
      <c r="N260" s="3" t="str">
        <f>VLOOKUP(P260,BulletColor!A$2:B283,2)</f>
        <v>0.625,0.3,0.3</v>
      </c>
      <c r="O260">
        <v>8</v>
      </c>
      <c r="P260" s="2">
        <v>1</v>
      </c>
      <c r="Q260" s="2">
        <f t="shared" si="16"/>
        <v>0</v>
      </c>
    </row>
    <row r="261" spans="1:17" x14ac:dyDescent="0.2">
      <c r="A261" s="1">
        <f t="shared" si="18"/>
        <v>108011</v>
      </c>
      <c r="B261" s="3" t="str">
        <f>VLOOKUP(O261,BulletType!A$1:F$35,2)&amp;VLOOKUP(P261,BulletColor!A$1:C$25,3)</f>
        <v>鳞弹 深红</v>
      </c>
      <c r="C261" s="3" t="str">
        <f t="shared" si="19"/>
        <v>Bullet108010</v>
      </c>
      <c r="D261" s="2">
        <f>VLOOKUP(O261,BulletType!A$2:N309,9)</f>
        <v>0</v>
      </c>
      <c r="E261" s="2">
        <f>VLOOKUP(O261,BulletType!A$2:N309,10)</f>
        <v>0</v>
      </c>
      <c r="F261" s="3" t="str">
        <f>CONCATENATE(VLOOKUP(O261,BulletType!A$2:I$35,8),VLOOKUP(P261,BulletColor!A$2:D$16,4))</f>
        <v>Bullet200010</v>
      </c>
      <c r="G261" s="3" t="str">
        <f>VLOOKUP(O261,BulletType!A$1:G$35,7)</f>
        <v>2.4,0.6</v>
      </c>
      <c r="H261" s="2">
        <f t="shared" si="17"/>
        <v>1</v>
      </c>
      <c r="I261">
        <f>VLOOKUP(O261,BulletType!A$1:F$35,3)</f>
        <v>1</v>
      </c>
      <c r="J261">
        <f>VLOOKUP(O261,BulletType!A$1:F$35,4)</f>
        <v>0</v>
      </c>
      <c r="K261">
        <f>VLOOKUP(O261,BulletType!A$1:F$35,5)</f>
        <v>4.8</v>
      </c>
      <c r="L261">
        <f>VLOOKUP(O261,BulletType!A$1:F$35,5)</f>
        <v>4.8</v>
      </c>
      <c r="M261">
        <f>VLOOKUP(O261,BulletType!A$1:F$35,6)</f>
        <v>2.4</v>
      </c>
      <c r="N261" s="3" t="str">
        <f>VLOOKUP(P261,BulletColor!A$2:B284,2)</f>
        <v>0.625,0.3,0.3</v>
      </c>
      <c r="O261">
        <v>8</v>
      </c>
      <c r="P261" s="2">
        <v>1</v>
      </c>
      <c r="Q261" s="2">
        <f t="shared" si="16"/>
        <v>1</v>
      </c>
    </row>
    <row r="262" spans="1:17" x14ac:dyDescent="0.2">
      <c r="A262" s="1">
        <f t="shared" si="18"/>
        <v>108020</v>
      </c>
      <c r="B262" s="3" t="str">
        <f>VLOOKUP(O262,BulletType!A$1:F$35,2)&amp;VLOOKUP(P262,BulletColor!A$1:C$25,3)</f>
        <v>鳞弹 红</v>
      </c>
      <c r="C262" s="3" t="str">
        <f t="shared" si="19"/>
        <v>Bullet108020</v>
      </c>
      <c r="D262" s="2">
        <f>VLOOKUP(O262,BulletType!A$2:N310,9)</f>
        <v>0</v>
      </c>
      <c r="E262" s="2">
        <f>VLOOKUP(O262,BulletType!A$2:N310,10)</f>
        <v>0</v>
      </c>
      <c r="F262" s="3" t="str">
        <f>CONCATENATE(VLOOKUP(O262,BulletType!A$2:I$35,8),VLOOKUP(P262,BulletColor!A$2:D$16,4))</f>
        <v>Bullet200010</v>
      </c>
      <c r="G262" s="3" t="str">
        <f>VLOOKUP(O262,BulletType!A$1:G$35,7)</f>
        <v>2.4,0.6</v>
      </c>
      <c r="H262" s="2">
        <f t="shared" si="17"/>
        <v>0</v>
      </c>
      <c r="I262">
        <f>VLOOKUP(O262,BulletType!A$1:F$35,3)</f>
        <v>1</v>
      </c>
      <c r="J262">
        <f>VLOOKUP(O262,BulletType!A$1:F$35,4)</f>
        <v>0</v>
      </c>
      <c r="K262">
        <f>VLOOKUP(O262,BulletType!A$1:F$35,5)</f>
        <v>4.8</v>
      </c>
      <c r="L262">
        <f>VLOOKUP(O262,BulletType!A$1:F$35,5)</f>
        <v>4.8</v>
      </c>
      <c r="M262">
        <f>VLOOKUP(O262,BulletType!A$1:F$35,6)</f>
        <v>2.4</v>
      </c>
      <c r="N262" s="3" t="str">
        <f>VLOOKUP(P262,BulletColor!A$2:B285,2)</f>
        <v>0.8,0.3,0.3</v>
      </c>
      <c r="O262">
        <v>8</v>
      </c>
      <c r="P262" s="2">
        <v>2</v>
      </c>
      <c r="Q262" s="2">
        <f t="shared" si="16"/>
        <v>0</v>
      </c>
    </row>
    <row r="263" spans="1:17" x14ac:dyDescent="0.2">
      <c r="A263" s="1">
        <f t="shared" si="18"/>
        <v>108021</v>
      </c>
      <c r="B263" s="3" t="str">
        <f>VLOOKUP(O263,BulletType!A$1:F$35,2)&amp;VLOOKUP(P263,BulletColor!A$1:C$25,3)</f>
        <v>鳞弹 红</v>
      </c>
      <c r="C263" s="3" t="str">
        <f t="shared" si="19"/>
        <v>Bullet108020</v>
      </c>
      <c r="D263" s="2">
        <f>VLOOKUP(O263,BulletType!A$2:N311,9)</f>
        <v>0</v>
      </c>
      <c r="E263" s="2">
        <f>VLOOKUP(O263,BulletType!A$2:N311,10)</f>
        <v>0</v>
      </c>
      <c r="F263" s="3" t="str">
        <f>CONCATENATE(VLOOKUP(O263,BulletType!A$2:I$35,8),VLOOKUP(P263,BulletColor!A$2:D$16,4))</f>
        <v>Bullet200010</v>
      </c>
      <c r="G263" s="3" t="str">
        <f>VLOOKUP(O263,BulletType!A$1:G$35,7)</f>
        <v>2.4,0.6</v>
      </c>
      <c r="H263" s="2">
        <f t="shared" si="17"/>
        <v>1</v>
      </c>
      <c r="I263">
        <f>VLOOKUP(O263,BulletType!A$1:F$35,3)</f>
        <v>1</v>
      </c>
      <c r="J263">
        <f>VLOOKUP(O263,BulletType!A$1:F$35,4)</f>
        <v>0</v>
      </c>
      <c r="K263">
        <f>VLOOKUP(O263,BulletType!A$1:F$35,5)</f>
        <v>4.8</v>
      </c>
      <c r="L263">
        <f>VLOOKUP(O263,BulletType!A$1:F$35,5)</f>
        <v>4.8</v>
      </c>
      <c r="M263">
        <f>VLOOKUP(O263,BulletType!A$1:F$35,6)</f>
        <v>2.4</v>
      </c>
      <c r="N263" s="3" t="str">
        <f>VLOOKUP(P263,BulletColor!A$2:B286,2)</f>
        <v>0.8,0.3,0.3</v>
      </c>
      <c r="O263">
        <v>8</v>
      </c>
      <c r="P263" s="2">
        <v>2</v>
      </c>
      <c r="Q263" s="2">
        <f t="shared" si="16"/>
        <v>1</v>
      </c>
    </row>
    <row r="264" spans="1:17" x14ac:dyDescent="0.2">
      <c r="A264" s="1">
        <f t="shared" si="18"/>
        <v>108030</v>
      </c>
      <c r="B264" s="3" t="str">
        <f>VLOOKUP(O264,BulletType!A$1:F$35,2)&amp;VLOOKUP(P264,BulletColor!A$1:C$25,3)</f>
        <v>鳞弹 深紫</v>
      </c>
      <c r="C264" s="3" t="str">
        <f t="shared" si="19"/>
        <v>Bullet108030</v>
      </c>
      <c r="D264" s="2">
        <f>VLOOKUP(O264,BulletType!A$2:N312,9)</f>
        <v>0</v>
      </c>
      <c r="E264" s="2">
        <f>VLOOKUP(O264,BulletType!A$2:N312,10)</f>
        <v>0</v>
      </c>
      <c r="F264" s="3" t="str">
        <f>CONCATENATE(VLOOKUP(O264,BulletType!A$2:I$35,8),VLOOKUP(P264,BulletColor!A$2:D$16,4))</f>
        <v>Bullet200030</v>
      </c>
      <c r="G264" s="3" t="str">
        <f>VLOOKUP(O264,BulletType!A$1:G$35,7)</f>
        <v>2.4,0.6</v>
      </c>
      <c r="H264" s="2">
        <f t="shared" si="17"/>
        <v>0</v>
      </c>
      <c r="I264">
        <f>VLOOKUP(O264,BulletType!A$1:F$35,3)</f>
        <v>1</v>
      </c>
      <c r="J264">
        <f>VLOOKUP(O264,BulletType!A$1:F$35,4)</f>
        <v>0</v>
      </c>
      <c r="K264">
        <f>VLOOKUP(O264,BulletType!A$1:F$35,5)</f>
        <v>4.8</v>
      </c>
      <c r="L264">
        <f>VLOOKUP(O264,BulletType!A$1:F$35,5)</f>
        <v>4.8</v>
      </c>
      <c r="M264">
        <f>VLOOKUP(O264,BulletType!A$1:F$35,6)</f>
        <v>2.4</v>
      </c>
      <c r="N264" s="3" t="str">
        <f>VLOOKUP(P264,BulletColor!A$2:B287,2)</f>
        <v>1,0.65,1</v>
      </c>
      <c r="O264">
        <v>8</v>
      </c>
      <c r="P264" s="2">
        <v>3</v>
      </c>
      <c r="Q264" s="2">
        <f t="shared" si="16"/>
        <v>0</v>
      </c>
    </row>
    <row r="265" spans="1:17" x14ac:dyDescent="0.2">
      <c r="A265" s="1">
        <f t="shared" si="18"/>
        <v>108031</v>
      </c>
      <c r="B265" s="3" t="str">
        <f>VLOOKUP(O265,BulletType!A$1:F$35,2)&amp;VLOOKUP(P265,BulletColor!A$1:C$25,3)</f>
        <v>鳞弹 深紫</v>
      </c>
      <c r="C265" s="3" t="str">
        <f t="shared" si="19"/>
        <v>Bullet108030</v>
      </c>
      <c r="D265" s="2">
        <f>VLOOKUP(O265,BulletType!A$2:N313,9)</f>
        <v>0</v>
      </c>
      <c r="E265" s="2">
        <f>VLOOKUP(O265,BulletType!A$2:N313,10)</f>
        <v>0</v>
      </c>
      <c r="F265" s="3" t="str">
        <f>CONCATENATE(VLOOKUP(O265,BulletType!A$2:I$35,8),VLOOKUP(P265,BulletColor!A$2:D$16,4))</f>
        <v>Bullet200030</v>
      </c>
      <c r="G265" s="3" t="str">
        <f>VLOOKUP(O265,BulletType!A$1:G$35,7)</f>
        <v>2.4,0.6</v>
      </c>
      <c r="H265" s="2">
        <f t="shared" si="17"/>
        <v>1</v>
      </c>
      <c r="I265">
        <f>VLOOKUP(O265,BulletType!A$1:F$35,3)</f>
        <v>1</v>
      </c>
      <c r="J265">
        <f>VLOOKUP(O265,BulletType!A$1:F$35,4)</f>
        <v>0</v>
      </c>
      <c r="K265">
        <f>VLOOKUP(O265,BulletType!A$1:F$35,5)</f>
        <v>4.8</v>
      </c>
      <c r="L265">
        <f>VLOOKUP(O265,BulletType!A$1:F$35,5)</f>
        <v>4.8</v>
      </c>
      <c r="M265">
        <f>VLOOKUP(O265,BulletType!A$1:F$35,6)</f>
        <v>2.4</v>
      </c>
      <c r="N265" s="3" t="str">
        <f>VLOOKUP(P265,BulletColor!A$2:B288,2)</f>
        <v>1,0.65,1</v>
      </c>
      <c r="O265">
        <v>8</v>
      </c>
      <c r="P265" s="2">
        <v>3</v>
      </c>
      <c r="Q265" s="2">
        <f t="shared" ref="Q265:Q328" si="20">MOD((ROW()-2),2)</f>
        <v>1</v>
      </c>
    </row>
    <row r="266" spans="1:17" x14ac:dyDescent="0.2">
      <c r="A266" s="1">
        <f t="shared" si="18"/>
        <v>108040</v>
      </c>
      <c r="B266" s="3" t="str">
        <f>VLOOKUP(O266,BulletType!A$1:F$35,2)&amp;VLOOKUP(P266,BulletColor!A$1:C$25,3)</f>
        <v>鳞弹 紫</v>
      </c>
      <c r="C266" s="3" t="str">
        <f t="shared" si="19"/>
        <v>Bullet108040</v>
      </c>
      <c r="D266" s="2">
        <f>VLOOKUP(O266,BulletType!A$2:N314,9)</f>
        <v>0</v>
      </c>
      <c r="E266" s="2">
        <f>VLOOKUP(O266,BulletType!A$2:N314,10)</f>
        <v>0</v>
      </c>
      <c r="F266" s="3" t="str">
        <f>CONCATENATE(VLOOKUP(O266,BulletType!A$2:I$35,8),VLOOKUP(P266,BulletColor!A$2:D$16,4))</f>
        <v>Bullet200030</v>
      </c>
      <c r="G266" s="3" t="str">
        <f>VLOOKUP(O266,BulletType!A$1:G$35,7)</f>
        <v>2.4,0.6</v>
      </c>
      <c r="H266" s="2">
        <f t="shared" si="17"/>
        <v>0</v>
      </c>
      <c r="I266">
        <f>VLOOKUP(O266,BulletType!A$1:F$35,3)</f>
        <v>1</v>
      </c>
      <c r="J266">
        <f>VLOOKUP(O266,BulletType!A$1:F$35,4)</f>
        <v>0</v>
      </c>
      <c r="K266">
        <f>VLOOKUP(O266,BulletType!A$1:F$35,5)</f>
        <v>4.8</v>
      </c>
      <c r="L266">
        <f>VLOOKUP(O266,BulletType!A$1:F$35,5)</f>
        <v>4.8</v>
      </c>
      <c r="M266">
        <f>VLOOKUP(O266,BulletType!A$1:F$35,6)</f>
        <v>2.4</v>
      </c>
      <c r="N266" s="3" t="str">
        <f>VLOOKUP(P266,BulletColor!A$2:B289,2)</f>
        <v>1,0.65,1</v>
      </c>
      <c r="O266">
        <v>8</v>
      </c>
      <c r="P266" s="2">
        <v>4</v>
      </c>
      <c r="Q266" s="2">
        <f t="shared" si="20"/>
        <v>0</v>
      </c>
    </row>
    <row r="267" spans="1:17" x14ac:dyDescent="0.2">
      <c r="A267" s="1">
        <f t="shared" si="18"/>
        <v>108041</v>
      </c>
      <c r="B267" s="3" t="str">
        <f>VLOOKUP(O267,BulletType!A$1:F$35,2)&amp;VLOOKUP(P267,BulletColor!A$1:C$25,3)</f>
        <v>鳞弹 紫</v>
      </c>
      <c r="C267" s="3" t="str">
        <f t="shared" si="19"/>
        <v>Bullet108040</v>
      </c>
      <c r="D267" s="2">
        <f>VLOOKUP(O267,BulletType!A$2:N315,9)</f>
        <v>0</v>
      </c>
      <c r="E267" s="2">
        <f>VLOOKUP(O267,BulletType!A$2:N315,10)</f>
        <v>0</v>
      </c>
      <c r="F267" s="3" t="str">
        <f>CONCATENATE(VLOOKUP(O267,BulletType!A$2:I$35,8),VLOOKUP(P267,BulletColor!A$2:D$16,4))</f>
        <v>Bullet200030</v>
      </c>
      <c r="G267" s="3" t="str">
        <f>VLOOKUP(O267,BulletType!A$1:G$35,7)</f>
        <v>2.4,0.6</v>
      </c>
      <c r="H267" s="2">
        <f t="shared" si="17"/>
        <v>1</v>
      </c>
      <c r="I267">
        <f>VLOOKUP(O267,BulletType!A$1:F$35,3)</f>
        <v>1</v>
      </c>
      <c r="J267">
        <f>VLOOKUP(O267,BulletType!A$1:F$35,4)</f>
        <v>0</v>
      </c>
      <c r="K267">
        <f>VLOOKUP(O267,BulletType!A$1:F$35,5)</f>
        <v>4.8</v>
      </c>
      <c r="L267">
        <f>VLOOKUP(O267,BulletType!A$1:F$35,5)</f>
        <v>4.8</v>
      </c>
      <c r="M267">
        <f>VLOOKUP(O267,BulletType!A$1:F$35,6)</f>
        <v>2.4</v>
      </c>
      <c r="N267" s="3" t="str">
        <f>VLOOKUP(P267,BulletColor!A$2:B290,2)</f>
        <v>1,0.65,1</v>
      </c>
      <c r="O267">
        <v>8</v>
      </c>
      <c r="P267" s="2">
        <v>4</v>
      </c>
      <c r="Q267" s="2">
        <f t="shared" si="20"/>
        <v>1</v>
      </c>
    </row>
    <row r="268" spans="1:17" x14ac:dyDescent="0.2">
      <c r="A268" s="1">
        <f t="shared" si="18"/>
        <v>108050</v>
      </c>
      <c r="B268" s="3" t="str">
        <f>VLOOKUP(O268,BulletType!A$1:F$35,2)&amp;VLOOKUP(P268,BulletColor!A$1:C$25,3)</f>
        <v>鳞弹 深蓝</v>
      </c>
      <c r="C268" s="3" t="str">
        <f t="shared" si="19"/>
        <v>Bullet108050</v>
      </c>
      <c r="D268" s="2">
        <f>VLOOKUP(O268,BulletType!A$2:N316,9)</f>
        <v>0</v>
      </c>
      <c r="E268" s="2">
        <f>VLOOKUP(O268,BulletType!A$2:N316,10)</f>
        <v>0</v>
      </c>
      <c r="F268" s="3" t="str">
        <f>CONCATENATE(VLOOKUP(O268,BulletType!A$2:I$35,8),VLOOKUP(P268,BulletColor!A$2:D$16,4))</f>
        <v>Bullet200050</v>
      </c>
      <c r="G268" s="3" t="str">
        <f>VLOOKUP(O268,BulletType!A$1:G$35,7)</f>
        <v>2.4,0.6</v>
      </c>
      <c r="H268" s="2">
        <f t="shared" si="17"/>
        <v>0</v>
      </c>
      <c r="I268">
        <f>VLOOKUP(O268,BulletType!A$1:F$35,3)</f>
        <v>1</v>
      </c>
      <c r="J268">
        <f>VLOOKUP(O268,BulletType!A$1:F$35,4)</f>
        <v>0</v>
      </c>
      <c r="K268">
        <f>VLOOKUP(O268,BulletType!A$1:F$35,5)</f>
        <v>4.8</v>
      </c>
      <c r="L268">
        <f>VLOOKUP(O268,BulletType!A$1:F$35,5)</f>
        <v>4.8</v>
      </c>
      <c r="M268">
        <f>VLOOKUP(O268,BulletType!A$1:F$35,6)</f>
        <v>2.4</v>
      </c>
      <c r="N268" s="3" t="str">
        <f>VLOOKUP(P268,BulletColor!A$2:B291,2)</f>
        <v>0,0.1,1</v>
      </c>
      <c r="O268">
        <v>8</v>
      </c>
      <c r="P268" s="2">
        <v>5</v>
      </c>
      <c r="Q268" s="2">
        <f t="shared" si="20"/>
        <v>0</v>
      </c>
    </row>
    <row r="269" spans="1:17" x14ac:dyDescent="0.2">
      <c r="A269" s="1">
        <f t="shared" si="18"/>
        <v>108051</v>
      </c>
      <c r="B269" s="3" t="str">
        <f>VLOOKUP(O269,BulletType!A$1:F$35,2)&amp;VLOOKUP(P269,BulletColor!A$1:C$25,3)</f>
        <v>鳞弹 深蓝</v>
      </c>
      <c r="C269" s="3" t="str">
        <f t="shared" si="19"/>
        <v>Bullet108050</v>
      </c>
      <c r="D269" s="2">
        <f>VLOOKUP(O269,BulletType!A$2:N317,9)</f>
        <v>0</v>
      </c>
      <c r="E269" s="2">
        <f>VLOOKUP(O269,BulletType!A$2:N317,10)</f>
        <v>0</v>
      </c>
      <c r="F269" s="3" t="str">
        <f>CONCATENATE(VLOOKUP(O269,BulletType!A$2:I$35,8),VLOOKUP(P269,BulletColor!A$2:D$16,4))</f>
        <v>Bullet200050</v>
      </c>
      <c r="G269" s="3" t="str">
        <f>VLOOKUP(O269,BulletType!A$1:G$35,7)</f>
        <v>2.4,0.6</v>
      </c>
      <c r="H269" s="2">
        <f t="shared" si="17"/>
        <v>1</v>
      </c>
      <c r="I269">
        <f>VLOOKUP(O269,BulletType!A$1:F$35,3)</f>
        <v>1</v>
      </c>
      <c r="J269">
        <f>VLOOKUP(O269,BulletType!A$1:F$35,4)</f>
        <v>0</v>
      </c>
      <c r="K269">
        <f>VLOOKUP(O269,BulletType!A$1:F$35,5)</f>
        <v>4.8</v>
      </c>
      <c r="L269">
        <f>VLOOKUP(O269,BulletType!A$1:F$35,5)</f>
        <v>4.8</v>
      </c>
      <c r="M269">
        <f>VLOOKUP(O269,BulletType!A$1:F$35,6)</f>
        <v>2.4</v>
      </c>
      <c r="N269" s="3" t="str">
        <f>VLOOKUP(P269,BulletColor!A$2:B292,2)</f>
        <v>0,0.1,1</v>
      </c>
      <c r="O269">
        <v>8</v>
      </c>
      <c r="P269" s="2">
        <v>5</v>
      </c>
      <c r="Q269" s="2">
        <f t="shared" si="20"/>
        <v>1</v>
      </c>
    </row>
    <row r="270" spans="1:17" x14ac:dyDescent="0.2">
      <c r="A270" s="1">
        <f t="shared" si="18"/>
        <v>108060</v>
      </c>
      <c r="B270" s="3" t="str">
        <f>VLOOKUP(O270,BulletType!A$1:F$35,2)&amp;VLOOKUP(P270,BulletColor!A$1:C$25,3)</f>
        <v>鳞弹 蓝</v>
      </c>
      <c r="C270" s="3" t="str">
        <f t="shared" si="19"/>
        <v>Bullet108060</v>
      </c>
      <c r="D270" s="2">
        <f>VLOOKUP(O270,BulletType!A$2:N318,9)</f>
        <v>0</v>
      </c>
      <c r="E270" s="2">
        <f>VLOOKUP(O270,BulletType!A$2:N318,10)</f>
        <v>0</v>
      </c>
      <c r="F270" s="3" t="str">
        <f>CONCATENATE(VLOOKUP(O270,BulletType!A$2:I$35,8),VLOOKUP(P270,BulletColor!A$2:D$16,4))</f>
        <v>Bullet200050</v>
      </c>
      <c r="G270" s="3" t="str">
        <f>VLOOKUP(O270,BulletType!A$1:G$35,7)</f>
        <v>2.4,0.6</v>
      </c>
      <c r="H270" s="2">
        <f t="shared" si="17"/>
        <v>0</v>
      </c>
      <c r="I270">
        <f>VLOOKUP(O270,BulletType!A$1:F$35,3)</f>
        <v>1</v>
      </c>
      <c r="J270">
        <f>VLOOKUP(O270,BulletType!A$1:F$35,4)</f>
        <v>0</v>
      </c>
      <c r="K270">
        <f>VLOOKUP(O270,BulletType!A$1:F$35,5)</f>
        <v>4.8</v>
      </c>
      <c r="L270">
        <f>VLOOKUP(O270,BulletType!A$1:F$35,5)</f>
        <v>4.8</v>
      </c>
      <c r="M270">
        <f>VLOOKUP(O270,BulletType!A$1:F$35,6)</f>
        <v>2.4</v>
      </c>
      <c r="N270" s="3" t="str">
        <f>VLOOKUP(P270,BulletColor!A$2:B293,2)</f>
        <v>0,0.1,1</v>
      </c>
      <c r="O270">
        <v>8</v>
      </c>
      <c r="P270" s="2">
        <v>6</v>
      </c>
      <c r="Q270" s="2">
        <f t="shared" si="20"/>
        <v>0</v>
      </c>
    </row>
    <row r="271" spans="1:17" x14ac:dyDescent="0.2">
      <c r="A271" s="1">
        <f t="shared" si="18"/>
        <v>108061</v>
      </c>
      <c r="B271" s="3" t="str">
        <f>VLOOKUP(O271,BulletType!A$1:F$35,2)&amp;VLOOKUP(P271,BulletColor!A$1:C$25,3)</f>
        <v>鳞弹 蓝</v>
      </c>
      <c r="C271" s="3" t="str">
        <f t="shared" si="19"/>
        <v>Bullet108060</v>
      </c>
      <c r="D271" s="2">
        <f>VLOOKUP(O271,BulletType!A$2:N319,9)</f>
        <v>0</v>
      </c>
      <c r="E271" s="2">
        <f>VLOOKUP(O271,BulletType!A$2:N319,10)</f>
        <v>0</v>
      </c>
      <c r="F271" s="3" t="str">
        <f>CONCATENATE(VLOOKUP(O271,BulletType!A$2:I$35,8),VLOOKUP(P271,BulletColor!A$2:D$16,4))</f>
        <v>Bullet200050</v>
      </c>
      <c r="G271" s="3" t="str">
        <f>VLOOKUP(O271,BulletType!A$1:G$35,7)</f>
        <v>2.4,0.6</v>
      </c>
      <c r="H271" s="2">
        <f t="shared" si="17"/>
        <v>1</v>
      </c>
      <c r="I271">
        <f>VLOOKUP(O271,BulletType!A$1:F$35,3)</f>
        <v>1</v>
      </c>
      <c r="J271">
        <f>VLOOKUP(O271,BulletType!A$1:F$35,4)</f>
        <v>0</v>
      </c>
      <c r="K271">
        <f>VLOOKUP(O271,BulletType!A$1:F$35,5)</f>
        <v>4.8</v>
      </c>
      <c r="L271">
        <f>VLOOKUP(O271,BulletType!A$1:F$35,5)</f>
        <v>4.8</v>
      </c>
      <c r="M271">
        <f>VLOOKUP(O271,BulletType!A$1:F$35,6)</f>
        <v>2.4</v>
      </c>
      <c r="N271" s="3" t="str">
        <f>VLOOKUP(P271,BulletColor!A$2:B294,2)</f>
        <v>0,0.1,1</v>
      </c>
      <c r="O271">
        <v>8</v>
      </c>
      <c r="P271" s="2">
        <v>6</v>
      </c>
      <c r="Q271" s="2">
        <f t="shared" si="20"/>
        <v>1</v>
      </c>
    </row>
    <row r="272" spans="1:17" x14ac:dyDescent="0.2">
      <c r="A272" s="1">
        <f t="shared" si="18"/>
        <v>108070</v>
      </c>
      <c r="B272" s="3" t="str">
        <f>VLOOKUP(O272,BulletType!A$1:F$35,2)&amp;VLOOKUP(P272,BulletColor!A$1:C$25,3)</f>
        <v>鳞弹 深青</v>
      </c>
      <c r="C272" s="3" t="str">
        <f t="shared" si="19"/>
        <v>Bullet108070</v>
      </c>
      <c r="D272" s="2">
        <f>VLOOKUP(O272,BulletType!A$2:N320,9)</f>
        <v>0</v>
      </c>
      <c r="E272" s="2">
        <f>VLOOKUP(O272,BulletType!A$2:N320,10)</f>
        <v>0</v>
      </c>
      <c r="F272" s="3" t="str">
        <f>CONCATENATE(VLOOKUP(O272,BulletType!A$2:I$35,8),VLOOKUP(P272,BulletColor!A$2:D$16,4))</f>
        <v>Bullet200070</v>
      </c>
      <c r="G272" s="3" t="str">
        <f>VLOOKUP(O272,BulletType!A$1:G$35,7)</f>
        <v>2.4,0.6</v>
      </c>
      <c r="H272" s="2">
        <f t="shared" si="17"/>
        <v>0</v>
      </c>
      <c r="I272">
        <f>VLOOKUP(O272,BulletType!A$1:F$35,3)</f>
        <v>1</v>
      </c>
      <c r="J272">
        <f>VLOOKUP(O272,BulletType!A$1:F$35,4)</f>
        <v>0</v>
      </c>
      <c r="K272">
        <f>VLOOKUP(O272,BulletType!A$1:F$35,5)</f>
        <v>4.8</v>
      </c>
      <c r="L272">
        <f>VLOOKUP(O272,BulletType!A$1:F$35,5)</f>
        <v>4.8</v>
      </c>
      <c r="M272">
        <f>VLOOKUP(O272,BulletType!A$1:F$35,6)</f>
        <v>2.4</v>
      </c>
      <c r="N272" s="3" t="str">
        <f>VLOOKUP(P272,BulletColor!A$2:B295,2)</f>
        <v>0.25,1,1</v>
      </c>
      <c r="O272">
        <v>8</v>
      </c>
      <c r="P272" s="2">
        <v>7</v>
      </c>
      <c r="Q272" s="2">
        <f t="shared" si="20"/>
        <v>0</v>
      </c>
    </row>
    <row r="273" spans="1:17" x14ac:dyDescent="0.2">
      <c r="A273" s="1">
        <f t="shared" si="18"/>
        <v>108071</v>
      </c>
      <c r="B273" s="3" t="str">
        <f>VLOOKUP(O273,BulletType!A$1:F$35,2)&amp;VLOOKUP(P273,BulletColor!A$1:C$25,3)</f>
        <v>鳞弹 深青</v>
      </c>
      <c r="C273" s="3" t="str">
        <f t="shared" si="19"/>
        <v>Bullet108070</v>
      </c>
      <c r="D273" s="2">
        <f>VLOOKUP(O273,BulletType!A$2:N321,9)</f>
        <v>0</v>
      </c>
      <c r="E273" s="2">
        <f>VLOOKUP(O273,BulletType!A$2:N321,10)</f>
        <v>0</v>
      </c>
      <c r="F273" s="3" t="str">
        <f>CONCATENATE(VLOOKUP(O273,BulletType!A$2:I$35,8),VLOOKUP(P273,BulletColor!A$2:D$16,4))</f>
        <v>Bullet200070</v>
      </c>
      <c r="G273" s="3" t="str">
        <f>VLOOKUP(O273,BulletType!A$1:G$35,7)</f>
        <v>2.4,0.6</v>
      </c>
      <c r="H273" s="2">
        <f t="shared" si="17"/>
        <v>1</v>
      </c>
      <c r="I273">
        <f>VLOOKUP(O273,BulletType!A$1:F$35,3)</f>
        <v>1</v>
      </c>
      <c r="J273">
        <f>VLOOKUP(O273,BulletType!A$1:F$35,4)</f>
        <v>0</v>
      </c>
      <c r="K273">
        <f>VLOOKUP(O273,BulletType!A$1:F$35,5)</f>
        <v>4.8</v>
      </c>
      <c r="L273">
        <f>VLOOKUP(O273,BulletType!A$1:F$35,5)</f>
        <v>4.8</v>
      </c>
      <c r="M273">
        <f>VLOOKUP(O273,BulletType!A$1:F$35,6)</f>
        <v>2.4</v>
      </c>
      <c r="N273" s="3" t="str">
        <f>VLOOKUP(P273,BulletColor!A$2:B296,2)</f>
        <v>0.25,1,1</v>
      </c>
      <c r="O273">
        <v>8</v>
      </c>
      <c r="P273" s="2">
        <v>7</v>
      </c>
      <c r="Q273" s="2">
        <f t="shared" si="20"/>
        <v>1</v>
      </c>
    </row>
    <row r="274" spans="1:17" x14ac:dyDescent="0.2">
      <c r="A274" s="1">
        <f t="shared" si="18"/>
        <v>108080</v>
      </c>
      <c r="B274" s="3" t="str">
        <f>VLOOKUP(O274,BulletType!A$1:F$35,2)&amp;VLOOKUP(P274,BulletColor!A$1:C$25,3)</f>
        <v>鳞弹 青</v>
      </c>
      <c r="C274" s="3" t="str">
        <f t="shared" si="19"/>
        <v>Bullet108080</v>
      </c>
      <c r="D274" s="2">
        <f>VLOOKUP(O274,BulletType!A$2:N322,9)</f>
        <v>0</v>
      </c>
      <c r="E274" s="2">
        <f>VLOOKUP(O274,BulletType!A$2:N322,10)</f>
        <v>0</v>
      </c>
      <c r="F274" s="3" t="str">
        <f>CONCATENATE(VLOOKUP(O274,BulletType!A$2:I$35,8),VLOOKUP(P274,BulletColor!A$2:D$16,4))</f>
        <v>Bullet200070</v>
      </c>
      <c r="G274" s="3" t="str">
        <f>VLOOKUP(O274,BulletType!A$1:G$35,7)</f>
        <v>2.4,0.6</v>
      </c>
      <c r="H274" s="2">
        <f t="shared" si="17"/>
        <v>0</v>
      </c>
      <c r="I274">
        <f>VLOOKUP(O274,BulletType!A$1:F$35,3)</f>
        <v>1</v>
      </c>
      <c r="J274">
        <f>VLOOKUP(O274,BulletType!A$1:F$35,4)</f>
        <v>0</v>
      </c>
      <c r="K274">
        <f>VLOOKUP(O274,BulletType!A$1:F$35,5)</f>
        <v>4.8</v>
      </c>
      <c r="L274">
        <f>VLOOKUP(O274,BulletType!A$1:F$35,5)</f>
        <v>4.8</v>
      </c>
      <c r="M274">
        <f>VLOOKUP(O274,BulletType!A$1:F$35,6)</f>
        <v>2.4</v>
      </c>
      <c r="N274" s="3" t="str">
        <f>VLOOKUP(P274,BulletColor!A$2:B297,2)</f>
        <v>0.25,1,1</v>
      </c>
      <c r="O274">
        <v>8</v>
      </c>
      <c r="P274" s="2">
        <v>8</v>
      </c>
      <c r="Q274" s="2">
        <f t="shared" si="20"/>
        <v>0</v>
      </c>
    </row>
    <row r="275" spans="1:17" x14ac:dyDescent="0.2">
      <c r="A275" s="1">
        <f t="shared" si="18"/>
        <v>108081</v>
      </c>
      <c r="B275" s="3" t="str">
        <f>VLOOKUP(O275,BulletType!A$1:F$35,2)&amp;VLOOKUP(P275,BulletColor!A$1:C$25,3)</f>
        <v>鳞弹 青</v>
      </c>
      <c r="C275" s="3" t="str">
        <f t="shared" si="19"/>
        <v>Bullet108080</v>
      </c>
      <c r="D275" s="2">
        <f>VLOOKUP(O275,BulletType!A$2:N323,9)</f>
        <v>0</v>
      </c>
      <c r="E275" s="2">
        <f>VLOOKUP(O275,BulletType!A$2:N323,10)</f>
        <v>0</v>
      </c>
      <c r="F275" s="3" t="str">
        <f>CONCATENATE(VLOOKUP(O275,BulletType!A$2:I$35,8),VLOOKUP(P275,BulletColor!A$2:D$16,4))</f>
        <v>Bullet200070</v>
      </c>
      <c r="G275" s="3" t="str">
        <f>VLOOKUP(O275,BulletType!A$1:G$35,7)</f>
        <v>2.4,0.6</v>
      </c>
      <c r="H275" s="2">
        <f t="shared" si="17"/>
        <v>1</v>
      </c>
      <c r="I275">
        <f>VLOOKUP(O275,BulletType!A$1:F$35,3)</f>
        <v>1</v>
      </c>
      <c r="J275">
        <f>VLOOKUP(O275,BulletType!A$1:F$35,4)</f>
        <v>0</v>
      </c>
      <c r="K275">
        <f>VLOOKUP(O275,BulletType!A$1:F$35,5)</f>
        <v>4.8</v>
      </c>
      <c r="L275">
        <f>VLOOKUP(O275,BulletType!A$1:F$35,5)</f>
        <v>4.8</v>
      </c>
      <c r="M275">
        <f>VLOOKUP(O275,BulletType!A$1:F$35,6)</f>
        <v>2.4</v>
      </c>
      <c r="N275" s="3" t="str">
        <f>VLOOKUP(P275,BulletColor!A$2:B298,2)</f>
        <v>0.25,1,1</v>
      </c>
      <c r="O275">
        <v>8</v>
      </c>
      <c r="P275" s="2">
        <v>8</v>
      </c>
      <c r="Q275" s="2">
        <f t="shared" si="20"/>
        <v>1</v>
      </c>
    </row>
    <row r="276" spans="1:17" x14ac:dyDescent="0.2">
      <c r="A276" s="1">
        <f t="shared" si="18"/>
        <v>108090</v>
      </c>
      <c r="B276" s="3" t="str">
        <f>VLOOKUP(O276,BulletType!A$1:F$35,2)&amp;VLOOKUP(P276,BulletColor!A$1:C$25,3)</f>
        <v>鳞弹 深绿</v>
      </c>
      <c r="C276" s="3" t="str">
        <f t="shared" si="19"/>
        <v>Bullet108090</v>
      </c>
      <c r="D276" s="2">
        <f>VLOOKUP(O276,BulletType!A$2:N324,9)</f>
        <v>0</v>
      </c>
      <c r="E276" s="2">
        <f>VLOOKUP(O276,BulletType!A$2:N324,10)</f>
        <v>0</v>
      </c>
      <c r="F276" s="3" t="str">
        <f>CONCATENATE(VLOOKUP(O276,BulletType!A$2:I$35,8),VLOOKUP(P276,BulletColor!A$2:D$16,4))</f>
        <v>Bullet200090</v>
      </c>
      <c r="G276" s="3" t="str">
        <f>VLOOKUP(O276,BulletType!A$1:G$35,7)</f>
        <v>2.4,0.6</v>
      </c>
      <c r="H276" s="2">
        <f t="shared" si="17"/>
        <v>0</v>
      </c>
      <c r="I276">
        <f>VLOOKUP(O276,BulletType!A$1:F$35,3)</f>
        <v>1</v>
      </c>
      <c r="J276">
        <f>VLOOKUP(O276,BulletType!A$1:F$35,4)</f>
        <v>0</v>
      </c>
      <c r="K276">
        <f>VLOOKUP(O276,BulletType!A$1:F$35,5)</f>
        <v>4.8</v>
      </c>
      <c r="L276">
        <f>VLOOKUP(O276,BulletType!A$1:F$35,5)</f>
        <v>4.8</v>
      </c>
      <c r="M276">
        <f>VLOOKUP(O276,BulletType!A$1:F$35,6)</f>
        <v>2.4</v>
      </c>
      <c r="N276" s="3" t="str">
        <f>VLOOKUP(P276,BulletColor!A$2:B299,2)</f>
        <v>0.36,0.78,1</v>
      </c>
      <c r="O276">
        <v>8</v>
      </c>
      <c r="P276" s="2">
        <v>9</v>
      </c>
      <c r="Q276" s="2">
        <f t="shared" si="20"/>
        <v>0</v>
      </c>
    </row>
    <row r="277" spans="1:17" x14ac:dyDescent="0.2">
      <c r="A277" s="1">
        <f t="shared" si="18"/>
        <v>108091</v>
      </c>
      <c r="B277" s="3" t="str">
        <f>VLOOKUP(O277,BulletType!A$1:F$35,2)&amp;VLOOKUP(P277,BulletColor!A$1:C$25,3)</f>
        <v>鳞弹 深绿</v>
      </c>
      <c r="C277" s="3" t="str">
        <f t="shared" si="19"/>
        <v>Bullet108090</v>
      </c>
      <c r="D277" s="2">
        <f>VLOOKUP(O277,BulletType!A$2:N325,9)</f>
        <v>0</v>
      </c>
      <c r="E277" s="2">
        <f>VLOOKUP(O277,BulletType!A$2:N325,10)</f>
        <v>0</v>
      </c>
      <c r="F277" s="3" t="str">
        <f>CONCATENATE(VLOOKUP(O277,BulletType!A$2:I$35,8),VLOOKUP(P277,BulletColor!A$2:D$16,4))</f>
        <v>Bullet200090</v>
      </c>
      <c r="G277" s="3" t="str">
        <f>VLOOKUP(O277,BulletType!A$1:G$35,7)</f>
        <v>2.4,0.6</v>
      </c>
      <c r="H277" s="2">
        <f t="shared" si="17"/>
        <v>1</v>
      </c>
      <c r="I277">
        <f>VLOOKUP(O277,BulletType!A$1:F$35,3)</f>
        <v>1</v>
      </c>
      <c r="J277">
        <f>VLOOKUP(O277,BulletType!A$1:F$35,4)</f>
        <v>0</v>
      </c>
      <c r="K277">
        <f>VLOOKUP(O277,BulletType!A$1:F$35,5)</f>
        <v>4.8</v>
      </c>
      <c r="L277">
        <f>VLOOKUP(O277,BulletType!A$1:F$35,5)</f>
        <v>4.8</v>
      </c>
      <c r="M277">
        <f>VLOOKUP(O277,BulletType!A$1:F$35,6)</f>
        <v>2.4</v>
      </c>
      <c r="N277" s="3" t="str">
        <f>VLOOKUP(P277,BulletColor!A$2:B300,2)</f>
        <v>0.36,0.78,1</v>
      </c>
      <c r="O277">
        <v>8</v>
      </c>
      <c r="P277" s="2">
        <v>9</v>
      </c>
      <c r="Q277" s="2">
        <f t="shared" si="20"/>
        <v>1</v>
      </c>
    </row>
    <row r="278" spans="1:17" x14ac:dyDescent="0.2">
      <c r="A278" s="1">
        <f t="shared" si="18"/>
        <v>108100</v>
      </c>
      <c r="B278" s="3" t="str">
        <f>VLOOKUP(O278,BulletType!A$1:F$35,2)&amp;VLOOKUP(P278,BulletColor!A$1:C$25,3)</f>
        <v>鳞弹 绿</v>
      </c>
      <c r="C278" s="3" t="str">
        <f t="shared" si="19"/>
        <v>Bullet108100</v>
      </c>
      <c r="D278" s="2">
        <f>VLOOKUP(O278,BulletType!A$2:N326,9)</f>
        <v>0</v>
      </c>
      <c r="E278" s="2">
        <f>VLOOKUP(O278,BulletType!A$2:N326,10)</f>
        <v>0</v>
      </c>
      <c r="F278" s="3" t="str">
        <f>CONCATENATE(VLOOKUP(O278,BulletType!A$2:I$35,8),VLOOKUP(P278,BulletColor!A$2:D$16,4))</f>
        <v>Bullet200090</v>
      </c>
      <c r="G278" s="3" t="str">
        <f>VLOOKUP(O278,BulletType!A$1:G$35,7)</f>
        <v>2.4,0.6</v>
      </c>
      <c r="H278" s="2">
        <f t="shared" si="17"/>
        <v>0</v>
      </c>
      <c r="I278">
        <f>VLOOKUP(O278,BulletType!A$1:F$35,3)</f>
        <v>1</v>
      </c>
      <c r="J278">
        <f>VLOOKUP(O278,BulletType!A$1:F$35,4)</f>
        <v>0</v>
      </c>
      <c r="K278">
        <f>VLOOKUP(O278,BulletType!A$1:F$35,5)</f>
        <v>4.8</v>
      </c>
      <c r="L278">
        <f>VLOOKUP(O278,BulletType!A$1:F$35,5)</f>
        <v>4.8</v>
      </c>
      <c r="M278">
        <f>VLOOKUP(O278,BulletType!A$1:F$35,6)</f>
        <v>2.4</v>
      </c>
      <c r="N278" s="3" t="str">
        <f>VLOOKUP(P278,BulletColor!A$2:B301,2)</f>
        <v>0.36,0.78,1</v>
      </c>
      <c r="O278">
        <v>8</v>
      </c>
      <c r="P278" s="2">
        <v>10</v>
      </c>
      <c r="Q278" s="2">
        <f t="shared" si="20"/>
        <v>0</v>
      </c>
    </row>
    <row r="279" spans="1:17" x14ac:dyDescent="0.2">
      <c r="A279" s="1">
        <f t="shared" si="18"/>
        <v>108101</v>
      </c>
      <c r="B279" s="3" t="str">
        <f>VLOOKUP(O279,BulletType!A$1:F$35,2)&amp;VLOOKUP(P279,BulletColor!A$1:C$25,3)</f>
        <v>鳞弹 绿</v>
      </c>
      <c r="C279" s="3" t="str">
        <f t="shared" si="19"/>
        <v>Bullet108100</v>
      </c>
      <c r="D279" s="2">
        <f>VLOOKUP(O279,BulletType!A$2:N327,9)</f>
        <v>0</v>
      </c>
      <c r="E279" s="2">
        <f>VLOOKUP(O279,BulletType!A$2:N327,10)</f>
        <v>0</v>
      </c>
      <c r="F279" s="3" t="str">
        <f>CONCATENATE(VLOOKUP(O279,BulletType!A$2:I$35,8),VLOOKUP(P279,BulletColor!A$2:D$16,4))</f>
        <v>Bullet200090</v>
      </c>
      <c r="G279" s="3" t="str">
        <f>VLOOKUP(O279,BulletType!A$1:G$35,7)</f>
        <v>2.4,0.6</v>
      </c>
      <c r="H279" s="2">
        <f t="shared" si="17"/>
        <v>1</v>
      </c>
      <c r="I279">
        <f>VLOOKUP(O279,BulletType!A$1:F$35,3)</f>
        <v>1</v>
      </c>
      <c r="J279">
        <f>VLOOKUP(O279,BulletType!A$1:F$35,4)</f>
        <v>0</v>
      </c>
      <c r="K279">
        <f>VLOOKUP(O279,BulletType!A$1:F$35,5)</f>
        <v>4.8</v>
      </c>
      <c r="L279">
        <f>VLOOKUP(O279,BulletType!A$1:F$35,5)</f>
        <v>4.8</v>
      </c>
      <c r="M279">
        <f>VLOOKUP(O279,BulletType!A$1:F$35,6)</f>
        <v>2.4</v>
      </c>
      <c r="N279" s="3" t="str">
        <f>VLOOKUP(P279,BulletColor!A$2:B302,2)</f>
        <v>0.36,0.78,1</v>
      </c>
      <c r="O279">
        <v>8</v>
      </c>
      <c r="P279" s="2">
        <v>10</v>
      </c>
      <c r="Q279" s="2">
        <f t="shared" si="20"/>
        <v>1</v>
      </c>
    </row>
    <row r="280" spans="1:17" x14ac:dyDescent="0.2">
      <c r="A280" s="1">
        <f t="shared" si="18"/>
        <v>108110</v>
      </c>
      <c r="B280" s="3" t="str">
        <f>VLOOKUP(O280,BulletType!A$1:F$35,2)&amp;VLOOKUP(P280,BulletColor!A$1:C$25,3)</f>
        <v>鳞弹 黄绿</v>
      </c>
      <c r="C280" s="3" t="str">
        <f t="shared" si="19"/>
        <v>Bullet108110</v>
      </c>
      <c r="D280" s="2">
        <f>VLOOKUP(O280,BulletType!A$2:N328,9)</f>
        <v>0</v>
      </c>
      <c r="E280" s="2">
        <f>VLOOKUP(O280,BulletType!A$2:N328,10)</f>
        <v>0</v>
      </c>
      <c r="F280" s="3" t="str">
        <f>CONCATENATE(VLOOKUP(O280,BulletType!A$2:I$35,8),VLOOKUP(P280,BulletColor!A$2:D$16,4))</f>
        <v>Bullet200090</v>
      </c>
      <c r="G280" s="3" t="str">
        <f>VLOOKUP(O280,BulletType!A$1:G$35,7)</f>
        <v>2.4,0.6</v>
      </c>
      <c r="H280" s="2">
        <f t="shared" si="17"/>
        <v>0</v>
      </c>
      <c r="I280">
        <f>VLOOKUP(O280,BulletType!A$1:F$35,3)</f>
        <v>1</v>
      </c>
      <c r="J280">
        <f>VLOOKUP(O280,BulletType!A$1:F$35,4)</f>
        <v>0</v>
      </c>
      <c r="K280">
        <f>VLOOKUP(O280,BulletType!A$1:F$35,5)</f>
        <v>4.8</v>
      </c>
      <c r="L280">
        <f>VLOOKUP(O280,BulletType!A$1:F$35,5)</f>
        <v>4.8</v>
      </c>
      <c r="M280">
        <f>VLOOKUP(O280,BulletType!A$1:F$35,6)</f>
        <v>2.4</v>
      </c>
      <c r="N280" s="3" t="str">
        <f>VLOOKUP(P280,BulletColor!A$2:B303,2)</f>
        <v>0.9,1,0.4</v>
      </c>
      <c r="O280">
        <v>8</v>
      </c>
      <c r="P280" s="2">
        <v>11</v>
      </c>
      <c r="Q280" s="2">
        <f t="shared" si="20"/>
        <v>0</v>
      </c>
    </row>
    <row r="281" spans="1:17" x14ac:dyDescent="0.2">
      <c r="A281" s="1">
        <f t="shared" si="18"/>
        <v>108111</v>
      </c>
      <c r="B281" s="3" t="str">
        <f>VLOOKUP(O281,BulletType!A$1:F$35,2)&amp;VLOOKUP(P281,BulletColor!A$1:C$25,3)</f>
        <v>鳞弹 黄绿</v>
      </c>
      <c r="C281" s="3" t="str">
        <f t="shared" si="19"/>
        <v>Bullet108110</v>
      </c>
      <c r="D281" s="2">
        <f>VLOOKUP(O281,BulletType!A$2:N329,9)</f>
        <v>0</v>
      </c>
      <c r="E281" s="2">
        <f>VLOOKUP(O281,BulletType!A$2:N329,10)</f>
        <v>0</v>
      </c>
      <c r="F281" s="3" t="str">
        <f>CONCATENATE(VLOOKUP(O281,BulletType!A$2:I$35,8),VLOOKUP(P281,BulletColor!A$2:D$16,4))</f>
        <v>Bullet200090</v>
      </c>
      <c r="G281" s="3" t="str">
        <f>VLOOKUP(O281,BulletType!A$1:G$35,7)</f>
        <v>2.4,0.6</v>
      </c>
      <c r="H281" s="2">
        <f t="shared" si="17"/>
        <v>1</v>
      </c>
      <c r="I281">
        <f>VLOOKUP(O281,BulletType!A$1:F$35,3)</f>
        <v>1</v>
      </c>
      <c r="J281">
        <f>VLOOKUP(O281,BulletType!A$1:F$35,4)</f>
        <v>0</v>
      </c>
      <c r="K281">
        <f>VLOOKUP(O281,BulletType!A$1:F$35,5)</f>
        <v>4.8</v>
      </c>
      <c r="L281">
        <f>VLOOKUP(O281,BulletType!A$1:F$35,5)</f>
        <v>4.8</v>
      </c>
      <c r="M281">
        <f>VLOOKUP(O281,BulletType!A$1:F$35,6)</f>
        <v>2.4</v>
      </c>
      <c r="N281" s="3" t="str">
        <f>VLOOKUP(P281,BulletColor!A$2:B304,2)</f>
        <v>0.9,1,0.4</v>
      </c>
      <c r="O281">
        <v>8</v>
      </c>
      <c r="P281" s="2">
        <v>11</v>
      </c>
      <c r="Q281" s="2">
        <f t="shared" si="20"/>
        <v>1</v>
      </c>
    </row>
    <row r="282" spans="1:17" x14ac:dyDescent="0.2">
      <c r="A282" s="1">
        <f t="shared" si="18"/>
        <v>108120</v>
      </c>
      <c r="B282" s="3" t="str">
        <f>VLOOKUP(O282,BulletType!A$1:F$35,2)&amp;VLOOKUP(P282,BulletColor!A$1:C$25,3)</f>
        <v>鳞弹 深黄</v>
      </c>
      <c r="C282" s="3" t="str">
        <f t="shared" si="19"/>
        <v>Bullet108120</v>
      </c>
      <c r="D282" s="2">
        <f>VLOOKUP(O282,BulletType!A$2:N330,9)</f>
        <v>0</v>
      </c>
      <c r="E282" s="2">
        <f>VLOOKUP(O282,BulletType!A$2:N330,10)</f>
        <v>0</v>
      </c>
      <c r="F282" s="3" t="str">
        <f>CONCATENATE(VLOOKUP(O282,BulletType!A$2:I$35,8),VLOOKUP(P282,BulletColor!A$2:D$16,4))</f>
        <v>Bullet200090</v>
      </c>
      <c r="G282" s="3" t="str">
        <f>VLOOKUP(O282,BulletType!A$1:G$35,7)</f>
        <v>2.4,0.6</v>
      </c>
      <c r="H282" s="2">
        <f t="shared" si="17"/>
        <v>0</v>
      </c>
      <c r="I282">
        <f>VLOOKUP(O282,BulletType!A$1:F$35,3)</f>
        <v>1</v>
      </c>
      <c r="J282">
        <f>VLOOKUP(O282,BulletType!A$1:F$35,4)</f>
        <v>0</v>
      </c>
      <c r="K282">
        <f>VLOOKUP(O282,BulletType!A$1:F$35,5)</f>
        <v>4.8</v>
      </c>
      <c r="L282">
        <f>VLOOKUP(O282,BulletType!A$1:F$35,5)</f>
        <v>4.8</v>
      </c>
      <c r="M282">
        <f>VLOOKUP(O282,BulletType!A$1:F$35,6)</f>
        <v>2.4</v>
      </c>
      <c r="N282" s="3" t="str">
        <f>VLOOKUP(P282,BulletColor!A$2:B305,2)</f>
        <v>0.9,1,0.4</v>
      </c>
      <c r="O282">
        <v>8</v>
      </c>
      <c r="P282" s="2">
        <v>12</v>
      </c>
      <c r="Q282" s="2">
        <f t="shared" si="20"/>
        <v>0</v>
      </c>
    </row>
    <row r="283" spans="1:17" x14ac:dyDescent="0.2">
      <c r="A283" s="1">
        <f t="shared" si="18"/>
        <v>108121</v>
      </c>
      <c r="B283" s="3" t="str">
        <f>VLOOKUP(O283,BulletType!A$1:F$35,2)&amp;VLOOKUP(P283,BulletColor!A$1:C$25,3)</f>
        <v>鳞弹 深黄</v>
      </c>
      <c r="C283" s="3" t="str">
        <f t="shared" si="19"/>
        <v>Bullet108120</v>
      </c>
      <c r="D283" s="2">
        <f>VLOOKUP(O283,BulletType!A$2:N331,9)</f>
        <v>0</v>
      </c>
      <c r="E283" s="2">
        <f>VLOOKUP(O283,BulletType!A$2:N331,10)</f>
        <v>0</v>
      </c>
      <c r="F283" s="3" t="str">
        <f>CONCATENATE(VLOOKUP(O283,BulletType!A$2:I$35,8),VLOOKUP(P283,BulletColor!A$2:D$16,4))</f>
        <v>Bullet200090</v>
      </c>
      <c r="G283" s="3" t="str">
        <f>VLOOKUP(O283,BulletType!A$1:G$35,7)</f>
        <v>2.4,0.6</v>
      </c>
      <c r="H283" s="2">
        <f t="shared" si="17"/>
        <v>1</v>
      </c>
      <c r="I283">
        <f>VLOOKUP(O283,BulletType!A$1:F$35,3)</f>
        <v>1</v>
      </c>
      <c r="J283">
        <f>VLOOKUP(O283,BulletType!A$1:F$35,4)</f>
        <v>0</v>
      </c>
      <c r="K283">
        <f>VLOOKUP(O283,BulletType!A$1:F$35,5)</f>
        <v>4.8</v>
      </c>
      <c r="L283">
        <f>VLOOKUP(O283,BulletType!A$1:F$35,5)</f>
        <v>4.8</v>
      </c>
      <c r="M283">
        <f>VLOOKUP(O283,BulletType!A$1:F$35,6)</f>
        <v>2.4</v>
      </c>
      <c r="N283" s="3" t="str">
        <f>VLOOKUP(P283,BulletColor!A$2:B306,2)</f>
        <v>0.9,1,0.4</v>
      </c>
      <c r="O283">
        <v>8</v>
      </c>
      <c r="P283" s="2">
        <v>12</v>
      </c>
      <c r="Q283" s="2">
        <f t="shared" si="20"/>
        <v>1</v>
      </c>
    </row>
    <row r="284" spans="1:17" x14ac:dyDescent="0.2">
      <c r="A284" s="1">
        <f t="shared" si="18"/>
        <v>108130</v>
      </c>
      <c r="B284" s="3" t="str">
        <f>VLOOKUP(O284,BulletType!A$1:F$35,2)&amp;VLOOKUP(P284,BulletColor!A$1:C$25,3)</f>
        <v>鳞弹 浅黄</v>
      </c>
      <c r="C284" s="3" t="str">
        <f t="shared" si="19"/>
        <v>Bullet108130</v>
      </c>
      <c r="D284" s="2">
        <f>VLOOKUP(O284,BulletType!A$2:N332,9)</f>
        <v>0</v>
      </c>
      <c r="E284" s="2">
        <f>VLOOKUP(O284,BulletType!A$2:N332,10)</f>
        <v>0</v>
      </c>
      <c r="F284" s="3" t="str">
        <f>CONCATENATE(VLOOKUP(O284,BulletType!A$2:I$35,8),VLOOKUP(P284,BulletColor!A$2:D$16,4))</f>
        <v>Bullet200130</v>
      </c>
      <c r="G284" s="3" t="str">
        <f>VLOOKUP(O284,BulletType!A$1:G$35,7)</f>
        <v>2.4,0.6</v>
      </c>
      <c r="H284" s="2">
        <f t="shared" si="17"/>
        <v>0</v>
      </c>
      <c r="I284">
        <f>VLOOKUP(O284,BulletType!A$1:F$35,3)</f>
        <v>1</v>
      </c>
      <c r="J284">
        <f>VLOOKUP(O284,BulletType!A$1:F$35,4)</f>
        <v>0</v>
      </c>
      <c r="K284">
        <f>VLOOKUP(O284,BulletType!A$1:F$35,5)</f>
        <v>4.8</v>
      </c>
      <c r="L284">
        <f>VLOOKUP(O284,BulletType!A$1:F$35,5)</f>
        <v>4.8</v>
      </c>
      <c r="M284">
        <f>VLOOKUP(O284,BulletType!A$1:F$35,6)</f>
        <v>2.4</v>
      </c>
      <c r="N284" s="3" t="str">
        <f>VLOOKUP(P284,BulletColor!A$2:B307,2)</f>
        <v>0.9,1,0.4</v>
      </c>
      <c r="O284">
        <v>8</v>
      </c>
      <c r="P284" s="2">
        <v>13</v>
      </c>
      <c r="Q284" s="2">
        <f t="shared" si="20"/>
        <v>0</v>
      </c>
    </row>
    <row r="285" spans="1:17" x14ac:dyDescent="0.2">
      <c r="A285" s="1">
        <f t="shared" si="18"/>
        <v>108131</v>
      </c>
      <c r="B285" s="3" t="str">
        <f>VLOOKUP(O285,BulletType!A$1:F$35,2)&amp;VLOOKUP(P285,BulletColor!A$1:C$25,3)</f>
        <v>鳞弹 浅黄</v>
      </c>
      <c r="C285" s="3" t="str">
        <f t="shared" si="19"/>
        <v>Bullet108130</v>
      </c>
      <c r="D285" s="2">
        <f>VLOOKUP(O285,BulletType!A$2:N333,9)</f>
        <v>0</v>
      </c>
      <c r="E285" s="2">
        <f>VLOOKUP(O285,BulletType!A$2:N333,10)</f>
        <v>0</v>
      </c>
      <c r="F285" s="3" t="str">
        <f>CONCATENATE(VLOOKUP(O285,BulletType!A$2:I$35,8),VLOOKUP(P285,BulletColor!A$2:D$16,4))</f>
        <v>Bullet200130</v>
      </c>
      <c r="G285" s="3" t="str">
        <f>VLOOKUP(O285,BulletType!A$1:G$35,7)</f>
        <v>2.4,0.6</v>
      </c>
      <c r="H285" s="2">
        <f t="shared" si="17"/>
        <v>1</v>
      </c>
      <c r="I285">
        <f>VLOOKUP(O285,BulletType!A$1:F$35,3)</f>
        <v>1</v>
      </c>
      <c r="J285">
        <f>VLOOKUP(O285,BulletType!A$1:F$35,4)</f>
        <v>0</v>
      </c>
      <c r="K285">
        <f>VLOOKUP(O285,BulletType!A$1:F$35,5)</f>
        <v>4.8</v>
      </c>
      <c r="L285">
        <f>VLOOKUP(O285,BulletType!A$1:F$35,5)</f>
        <v>4.8</v>
      </c>
      <c r="M285">
        <f>VLOOKUP(O285,BulletType!A$1:F$35,6)</f>
        <v>2.4</v>
      </c>
      <c r="N285" s="3" t="str">
        <f>VLOOKUP(P285,BulletColor!A$2:B308,2)</f>
        <v>0.9,1,0.4</v>
      </c>
      <c r="O285">
        <v>8</v>
      </c>
      <c r="P285" s="2">
        <v>13</v>
      </c>
      <c r="Q285" s="2">
        <f t="shared" si="20"/>
        <v>1</v>
      </c>
    </row>
    <row r="286" spans="1:17" x14ac:dyDescent="0.2">
      <c r="A286" s="1">
        <f t="shared" si="18"/>
        <v>108140</v>
      </c>
      <c r="B286" s="3" t="str">
        <f>VLOOKUP(O286,BulletType!A$1:F$35,2)&amp;VLOOKUP(P286,BulletColor!A$1:C$25,3)</f>
        <v>鳞弹 棕黄</v>
      </c>
      <c r="C286" s="3" t="str">
        <f t="shared" si="19"/>
        <v>Bullet108140</v>
      </c>
      <c r="D286" s="2">
        <f>VLOOKUP(O286,BulletType!A$2:N334,9)</f>
        <v>0</v>
      </c>
      <c r="E286" s="2">
        <f>VLOOKUP(O286,BulletType!A$2:N334,10)</f>
        <v>0</v>
      </c>
      <c r="F286" s="3" t="str">
        <f>CONCATENATE(VLOOKUP(O286,BulletType!A$2:I$35,8),VLOOKUP(P286,BulletColor!A$2:D$16,4))</f>
        <v>Bullet200130</v>
      </c>
      <c r="G286" s="3" t="str">
        <f>VLOOKUP(O286,BulletType!A$1:G$35,7)</f>
        <v>2.4,0.6</v>
      </c>
      <c r="H286" s="2">
        <f t="shared" si="17"/>
        <v>0</v>
      </c>
      <c r="I286">
        <f>VLOOKUP(O286,BulletType!A$1:F$35,3)</f>
        <v>1</v>
      </c>
      <c r="J286">
        <f>VLOOKUP(O286,BulletType!A$1:F$35,4)</f>
        <v>0</v>
      </c>
      <c r="K286">
        <f>VLOOKUP(O286,BulletType!A$1:F$35,5)</f>
        <v>4.8</v>
      </c>
      <c r="L286">
        <f>VLOOKUP(O286,BulletType!A$1:F$35,5)</f>
        <v>4.8</v>
      </c>
      <c r="M286">
        <f>VLOOKUP(O286,BulletType!A$1:F$35,6)</f>
        <v>2.4</v>
      </c>
      <c r="N286" s="3" t="str">
        <f>VLOOKUP(P286,BulletColor!A$2:B309,2)</f>
        <v>0.9,1,0.4</v>
      </c>
      <c r="O286">
        <v>8</v>
      </c>
      <c r="P286" s="2">
        <v>14</v>
      </c>
      <c r="Q286" s="2">
        <f t="shared" si="20"/>
        <v>0</v>
      </c>
    </row>
    <row r="287" spans="1:17" x14ac:dyDescent="0.2">
      <c r="A287" s="1">
        <f t="shared" si="18"/>
        <v>108141</v>
      </c>
      <c r="B287" s="3" t="str">
        <f>VLOOKUP(O287,BulletType!A$1:F$35,2)&amp;VLOOKUP(P287,BulletColor!A$1:C$25,3)</f>
        <v>鳞弹 棕黄</v>
      </c>
      <c r="C287" s="3" t="str">
        <f t="shared" si="19"/>
        <v>Bullet108140</v>
      </c>
      <c r="D287" s="2">
        <f>VLOOKUP(O287,BulletType!A$2:N335,9)</f>
        <v>0</v>
      </c>
      <c r="E287" s="2">
        <f>VLOOKUP(O287,BulletType!A$2:N335,10)</f>
        <v>0</v>
      </c>
      <c r="F287" s="3" t="str">
        <f>CONCATENATE(VLOOKUP(O287,BulletType!A$2:I$35,8),VLOOKUP(P287,BulletColor!A$2:D$16,4))</f>
        <v>Bullet200130</v>
      </c>
      <c r="G287" s="3" t="str">
        <f>VLOOKUP(O287,BulletType!A$1:G$35,7)</f>
        <v>2.4,0.6</v>
      </c>
      <c r="H287" s="2">
        <f t="shared" si="17"/>
        <v>1</v>
      </c>
      <c r="I287">
        <f>VLOOKUP(O287,BulletType!A$1:F$35,3)</f>
        <v>1</v>
      </c>
      <c r="J287">
        <f>VLOOKUP(O287,BulletType!A$1:F$35,4)</f>
        <v>0</v>
      </c>
      <c r="K287">
        <f>VLOOKUP(O287,BulletType!A$1:F$35,5)</f>
        <v>4.8</v>
      </c>
      <c r="L287">
        <f>VLOOKUP(O287,BulletType!A$1:F$35,5)</f>
        <v>4.8</v>
      </c>
      <c r="M287">
        <f>VLOOKUP(O287,BulletType!A$1:F$35,6)</f>
        <v>2.4</v>
      </c>
      <c r="N287" s="3" t="str">
        <f>VLOOKUP(P287,BulletColor!A$2:B310,2)</f>
        <v>0.9,1,0.4</v>
      </c>
      <c r="O287">
        <v>8</v>
      </c>
      <c r="P287" s="2">
        <v>14</v>
      </c>
      <c r="Q287" s="2">
        <f t="shared" si="20"/>
        <v>1</v>
      </c>
    </row>
    <row r="288" spans="1:17" x14ac:dyDescent="0.2">
      <c r="A288" s="1">
        <f t="shared" si="18"/>
        <v>108150</v>
      </c>
      <c r="B288" s="3" t="str">
        <f>VLOOKUP(O288,BulletType!A$1:F$35,2)&amp;VLOOKUP(P288,BulletColor!A$1:C$25,3)</f>
        <v>鳞弹 白</v>
      </c>
      <c r="C288" s="3" t="str">
        <f t="shared" si="19"/>
        <v>Bullet108150</v>
      </c>
      <c r="D288" s="2">
        <f>VLOOKUP(O288,BulletType!A$2:N336,9)</f>
        <v>0</v>
      </c>
      <c r="E288" s="2">
        <f>VLOOKUP(O288,BulletType!A$2:N336,10)</f>
        <v>0</v>
      </c>
      <c r="F288" s="3" t="str">
        <f>CONCATENATE(VLOOKUP(O288,BulletType!A$2:I$35,8),VLOOKUP(P288,BulletColor!A$2:D$16,4))</f>
        <v>Bullet200130</v>
      </c>
      <c r="G288" s="3" t="str">
        <f>VLOOKUP(O288,BulletType!A$1:G$35,7)</f>
        <v>2.4,0.6</v>
      </c>
      <c r="H288" s="2">
        <f t="shared" si="17"/>
        <v>0</v>
      </c>
      <c r="I288">
        <f>VLOOKUP(O288,BulletType!A$1:F$35,3)</f>
        <v>1</v>
      </c>
      <c r="J288">
        <f>VLOOKUP(O288,BulletType!A$1:F$35,4)</f>
        <v>0</v>
      </c>
      <c r="K288">
        <f>VLOOKUP(O288,BulletType!A$1:F$35,5)</f>
        <v>4.8</v>
      </c>
      <c r="L288">
        <f>VLOOKUP(O288,BulletType!A$1:F$35,5)</f>
        <v>4.8</v>
      </c>
      <c r="M288">
        <f>VLOOKUP(O288,BulletType!A$1:F$35,6)</f>
        <v>2.4</v>
      </c>
      <c r="N288" s="3" t="str">
        <f>VLOOKUP(P288,BulletColor!A$2:B311,2)</f>
        <v>0.8,0.8,0.8</v>
      </c>
      <c r="O288">
        <v>8</v>
      </c>
      <c r="P288" s="2">
        <v>15</v>
      </c>
      <c r="Q288" s="2">
        <f t="shared" si="20"/>
        <v>0</v>
      </c>
    </row>
    <row r="289" spans="1:17" x14ac:dyDescent="0.2">
      <c r="A289" s="1">
        <f t="shared" si="18"/>
        <v>108151</v>
      </c>
      <c r="B289" s="3" t="str">
        <f>VLOOKUP(O289,BulletType!A$1:F$35,2)&amp;VLOOKUP(P289,BulletColor!A$1:C$25,3)</f>
        <v>鳞弹 白</v>
      </c>
      <c r="C289" s="3" t="str">
        <f t="shared" si="19"/>
        <v>Bullet108150</v>
      </c>
      <c r="D289" s="2">
        <f>VLOOKUP(O289,BulletType!A$2:N337,9)</f>
        <v>0</v>
      </c>
      <c r="E289" s="2">
        <f>VLOOKUP(O289,BulletType!A$2:N337,10)</f>
        <v>0</v>
      </c>
      <c r="F289" s="3" t="str">
        <f>CONCATENATE(VLOOKUP(O289,BulletType!A$2:I$35,8),VLOOKUP(P289,BulletColor!A$2:D$16,4))</f>
        <v>Bullet200130</v>
      </c>
      <c r="G289" s="3" t="str">
        <f>VLOOKUP(O289,BulletType!A$1:G$35,7)</f>
        <v>2.4,0.6</v>
      </c>
      <c r="H289" s="2">
        <f t="shared" si="17"/>
        <v>1</v>
      </c>
      <c r="I289">
        <f>VLOOKUP(O289,BulletType!A$1:F$35,3)</f>
        <v>1</v>
      </c>
      <c r="J289">
        <f>VLOOKUP(O289,BulletType!A$1:F$35,4)</f>
        <v>0</v>
      </c>
      <c r="K289">
        <f>VLOOKUP(O289,BulletType!A$1:F$35,5)</f>
        <v>4.8</v>
      </c>
      <c r="L289">
        <f>VLOOKUP(O289,BulletType!A$1:F$35,5)</f>
        <v>4.8</v>
      </c>
      <c r="M289">
        <f>VLOOKUP(O289,BulletType!A$1:F$35,6)</f>
        <v>2.4</v>
      </c>
      <c r="N289" s="3" t="str">
        <f>VLOOKUP(P289,BulletColor!A$2:B312,2)</f>
        <v>0.8,0.8,0.8</v>
      </c>
      <c r="O289">
        <v>8</v>
      </c>
      <c r="P289" s="2">
        <v>15</v>
      </c>
      <c r="Q289" s="2">
        <f t="shared" si="20"/>
        <v>1</v>
      </c>
    </row>
    <row r="290" spans="1:17" x14ac:dyDescent="0.2">
      <c r="A290" s="1">
        <f t="shared" si="18"/>
        <v>109000</v>
      </c>
      <c r="B290" s="3" t="str">
        <f>VLOOKUP(O290,BulletType!A$1:F$35,2)&amp;VLOOKUP(P290,BulletColor!A$1:C$25,3)</f>
        <v>铳弹 灰</v>
      </c>
      <c r="C290" s="3" t="str">
        <f t="shared" si="19"/>
        <v>Bullet109000</v>
      </c>
      <c r="D290" s="2">
        <f>VLOOKUP(O290,BulletType!A$2:N338,9)</f>
        <v>0</v>
      </c>
      <c r="E290" s="2">
        <f>VLOOKUP(O290,BulletType!A$2:N338,10)</f>
        <v>0</v>
      </c>
      <c r="F290" s="3" t="str">
        <f>CONCATENATE(VLOOKUP(O290,BulletType!A$2:I$35,8),VLOOKUP(P290,BulletColor!A$2:D$16,4))</f>
        <v>Bullet200000</v>
      </c>
      <c r="G290" s="3" t="str">
        <f>VLOOKUP(O290,BulletType!A$1:G$35,7)</f>
        <v>1.6,0.4</v>
      </c>
      <c r="H290" s="2">
        <f t="shared" si="17"/>
        <v>0</v>
      </c>
      <c r="I290">
        <f>VLOOKUP(O290,BulletType!A$1:F$35,3)</f>
        <v>1</v>
      </c>
      <c r="J290">
        <f>VLOOKUP(O290,BulletType!A$1:F$35,4)</f>
        <v>0</v>
      </c>
      <c r="K290">
        <f>VLOOKUP(O290,BulletType!A$1:F$35,5)</f>
        <v>4.8</v>
      </c>
      <c r="L290">
        <f>VLOOKUP(O290,BulletType!A$1:F$35,5)</f>
        <v>4.8</v>
      </c>
      <c r="M290">
        <f>VLOOKUP(O290,BulletType!A$1:F$35,6)</f>
        <v>2.4</v>
      </c>
      <c r="N290" s="3" t="str">
        <f>VLOOKUP(P290,BulletColor!A$2:B313,2)</f>
        <v>0.5,0.5,0.5</v>
      </c>
      <c r="O290">
        <v>9</v>
      </c>
      <c r="P290" s="2">
        <v>0</v>
      </c>
      <c r="Q290" s="2">
        <f t="shared" si="20"/>
        <v>0</v>
      </c>
    </row>
    <row r="291" spans="1:17" x14ac:dyDescent="0.2">
      <c r="A291" s="1">
        <f t="shared" si="18"/>
        <v>109001</v>
      </c>
      <c r="B291" s="3" t="str">
        <f>VLOOKUP(O291,BulletType!A$1:F$35,2)&amp;VLOOKUP(P291,BulletColor!A$1:C$25,3)</f>
        <v>铳弹 灰</v>
      </c>
      <c r="C291" s="3" t="str">
        <f t="shared" si="19"/>
        <v>Bullet109000</v>
      </c>
      <c r="D291" s="2">
        <f>VLOOKUP(O291,BulletType!A$2:N339,9)</f>
        <v>0</v>
      </c>
      <c r="E291" s="2">
        <f>VLOOKUP(O291,BulletType!A$2:N339,10)</f>
        <v>0</v>
      </c>
      <c r="F291" s="3" t="str">
        <f>CONCATENATE(VLOOKUP(O291,BulletType!A$2:I$35,8),VLOOKUP(P291,BulletColor!A$2:D$16,4))</f>
        <v>Bullet200000</v>
      </c>
      <c r="G291" s="3" t="str">
        <f>VLOOKUP(O291,BulletType!A$1:G$35,7)</f>
        <v>1.6,0.4</v>
      </c>
      <c r="H291" s="2">
        <f t="shared" si="17"/>
        <v>1</v>
      </c>
      <c r="I291">
        <f>VLOOKUP(O291,BulletType!A$1:F$35,3)</f>
        <v>1</v>
      </c>
      <c r="J291">
        <f>VLOOKUP(O291,BulletType!A$1:F$35,4)</f>
        <v>0</v>
      </c>
      <c r="K291">
        <f>VLOOKUP(O291,BulletType!A$1:F$35,5)</f>
        <v>4.8</v>
      </c>
      <c r="L291">
        <f>VLOOKUP(O291,BulletType!A$1:F$35,5)</f>
        <v>4.8</v>
      </c>
      <c r="M291">
        <f>VLOOKUP(O291,BulletType!A$1:F$35,6)</f>
        <v>2.4</v>
      </c>
      <c r="N291" s="3" t="str">
        <f>VLOOKUP(P291,BulletColor!A$2:B314,2)</f>
        <v>0.5,0.5,0.5</v>
      </c>
      <c r="O291">
        <v>9</v>
      </c>
      <c r="P291" s="2">
        <v>0</v>
      </c>
      <c r="Q291" s="2">
        <f t="shared" si="20"/>
        <v>1</v>
      </c>
    </row>
    <row r="292" spans="1:17" x14ac:dyDescent="0.2">
      <c r="A292" s="1">
        <f t="shared" si="18"/>
        <v>109010</v>
      </c>
      <c r="B292" s="3" t="str">
        <f>VLOOKUP(O292,BulletType!A$1:F$35,2)&amp;VLOOKUP(P292,BulletColor!A$1:C$25,3)</f>
        <v>铳弹 深红</v>
      </c>
      <c r="C292" s="3" t="str">
        <f t="shared" si="19"/>
        <v>Bullet109010</v>
      </c>
      <c r="D292" s="2">
        <f>VLOOKUP(O292,BulletType!A$2:N340,9)</f>
        <v>0</v>
      </c>
      <c r="E292" s="2">
        <f>VLOOKUP(O292,BulletType!A$2:N340,10)</f>
        <v>0</v>
      </c>
      <c r="F292" s="3" t="str">
        <f>CONCATENATE(VLOOKUP(O292,BulletType!A$2:I$35,8),VLOOKUP(P292,BulletColor!A$2:D$16,4))</f>
        <v>Bullet200010</v>
      </c>
      <c r="G292" s="3" t="str">
        <f>VLOOKUP(O292,BulletType!A$1:G$35,7)</f>
        <v>1.6,0.4</v>
      </c>
      <c r="H292" s="2">
        <f t="shared" si="17"/>
        <v>0</v>
      </c>
      <c r="I292">
        <f>VLOOKUP(O292,BulletType!A$1:F$35,3)</f>
        <v>1</v>
      </c>
      <c r="J292">
        <f>VLOOKUP(O292,BulletType!A$1:F$35,4)</f>
        <v>0</v>
      </c>
      <c r="K292">
        <f>VLOOKUP(O292,BulletType!A$1:F$35,5)</f>
        <v>4.8</v>
      </c>
      <c r="L292">
        <f>VLOOKUP(O292,BulletType!A$1:F$35,5)</f>
        <v>4.8</v>
      </c>
      <c r="M292">
        <f>VLOOKUP(O292,BulletType!A$1:F$35,6)</f>
        <v>2.4</v>
      </c>
      <c r="N292" s="3" t="str">
        <f>VLOOKUP(P292,BulletColor!A$2:B315,2)</f>
        <v>0.625,0.3,0.3</v>
      </c>
      <c r="O292">
        <v>9</v>
      </c>
      <c r="P292" s="2">
        <v>1</v>
      </c>
      <c r="Q292" s="2">
        <f t="shared" si="20"/>
        <v>0</v>
      </c>
    </row>
    <row r="293" spans="1:17" x14ac:dyDescent="0.2">
      <c r="A293" s="1">
        <f t="shared" si="18"/>
        <v>109011</v>
      </c>
      <c r="B293" s="3" t="str">
        <f>VLOOKUP(O293,BulletType!A$1:F$35,2)&amp;VLOOKUP(P293,BulletColor!A$1:C$25,3)</f>
        <v>铳弹 深红</v>
      </c>
      <c r="C293" s="3" t="str">
        <f t="shared" si="19"/>
        <v>Bullet109010</v>
      </c>
      <c r="D293" s="2">
        <f>VLOOKUP(O293,BulletType!A$2:N341,9)</f>
        <v>0</v>
      </c>
      <c r="E293" s="2">
        <f>VLOOKUP(O293,BulletType!A$2:N341,10)</f>
        <v>0</v>
      </c>
      <c r="F293" s="3" t="str">
        <f>CONCATENATE(VLOOKUP(O293,BulletType!A$2:I$35,8),VLOOKUP(P293,BulletColor!A$2:D$16,4))</f>
        <v>Bullet200010</v>
      </c>
      <c r="G293" s="3" t="str">
        <f>VLOOKUP(O293,BulletType!A$1:G$35,7)</f>
        <v>1.6,0.4</v>
      </c>
      <c r="H293" s="2">
        <f t="shared" si="17"/>
        <v>1</v>
      </c>
      <c r="I293">
        <f>VLOOKUP(O293,BulletType!A$1:F$35,3)</f>
        <v>1</v>
      </c>
      <c r="J293">
        <f>VLOOKUP(O293,BulletType!A$1:F$35,4)</f>
        <v>0</v>
      </c>
      <c r="K293">
        <f>VLOOKUP(O293,BulletType!A$1:F$35,5)</f>
        <v>4.8</v>
      </c>
      <c r="L293">
        <f>VLOOKUP(O293,BulletType!A$1:F$35,5)</f>
        <v>4.8</v>
      </c>
      <c r="M293">
        <f>VLOOKUP(O293,BulletType!A$1:F$35,6)</f>
        <v>2.4</v>
      </c>
      <c r="N293" s="3" t="str">
        <f>VLOOKUP(P293,BulletColor!A$2:B316,2)</f>
        <v>0.625,0.3,0.3</v>
      </c>
      <c r="O293">
        <v>9</v>
      </c>
      <c r="P293" s="2">
        <v>1</v>
      </c>
      <c r="Q293" s="2">
        <f t="shared" si="20"/>
        <v>1</v>
      </c>
    </row>
    <row r="294" spans="1:17" x14ac:dyDescent="0.2">
      <c r="A294" s="1">
        <f t="shared" si="18"/>
        <v>109020</v>
      </c>
      <c r="B294" s="3" t="str">
        <f>VLOOKUP(O294,BulletType!A$1:F$35,2)&amp;VLOOKUP(P294,BulletColor!A$1:C$25,3)</f>
        <v>铳弹 红</v>
      </c>
      <c r="C294" s="3" t="str">
        <f t="shared" si="19"/>
        <v>Bullet109020</v>
      </c>
      <c r="D294" s="2">
        <f>VLOOKUP(O294,BulletType!A$2:N342,9)</f>
        <v>0</v>
      </c>
      <c r="E294" s="2">
        <f>VLOOKUP(O294,BulletType!A$2:N342,10)</f>
        <v>0</v>
      </c>
      <c r="F294" s="3" t="str">
        <f>CONCATENATE(VLOOKUP(O294,BulletType!A$2:I$35,8),VLOOKUP(P294,BulletColor!A$2:D$16,4))</f>
        <v>Bullet200010</v>
      </c>
      <c r="G294" s="3" t="str">
        <f>VLOOKUP(O294,BulletType!A$1:G$35,7)</f>
        <v>1.6,0.4</v>
      </c>
      <c r="H294" s="2">
        <f t="shared" si="17"/>
        <v>0</v>
      </c>
      <c r="I294">
        <f>VLOOKUP(O294,BulletType!A$1:F$35,3)</f>
        <v>1</v>
      </c>
      <c r="J294">
        <f>VLOOKUP(O294,BulletType!A$1:F$35,4)</f>
        <v>0</v>
      </c>
      <c r="K294">
        <f>VLOOKUP(O294,BulletType!A$1:F$35,5)</f>
        <v>4.8</v>
      </c>
      <c r="L294">
        <f>VLOOKUP(O294,BulletType!A$1:F$35,5)</f>
        <v>4.8</v>
      </c>
      <c r="M294">
        <f>VLOOKUP(O294,BulletType!A$1:F$35,6)</f>
        <v>2.4</v>
      </c>
      <c r="N294" s="3" t="str">
        <f>VLOOKUP(P294,BulletColor!A$2:B317,2)</f>
        <v>0.8,0.3,0.3</v>
      </c>
      <c r="O294">
        <v>9</v>
      </c>
      <c r="P294" s="2">
        <v>2</v>
      </c>
      <c r="Q294" s="2">
        <f t="shared" si="20"/>
        <v>0</v>
      </c>
    </row>
    <row r="295" spans="1:17" x14ac:dyDescent="0.2">
      <c r="A295" s="1">
        <f t="shared" si="18"/>
        <v>109021</v>
      </c>
      <c r="B295" s="3" t="str">
        <f>VLOOKUP(O295,BulletType!A$1:F$35,2)&amp;VLOOKUP(P295,BulletColor!A$1:C$25,3)</f>
        <v>铳弹 红</v>
      </c>
      <c r="C295" s="3" t="str">
        <f t="shared" si="19"/>
        <v>Bullet109020</v>
      </c>
      <c r="D295" s="2">
        <f>VLOOKUP(O295,BulletType!A$2:N343,9)</f>
        <v>0</v>
      </c>
      <c r="E295" s="2">
        <f>VLOOKUP(O295,BulletType!A$2:N343,10)</f>
        <v>0</v>
      </c>
      <c r="F295" s="3" t="str">
        <f>CONCATENATE(VLOOKUP(O295,BulletType!A$2:I$35,8),VLOOKUP(P295,BulletColor!A$2:D$16,4))</f>
        <v>Bullet200010</v>
      </c>
      <c r="G295" s="3" t="str">
        <f>VLOOKUP(O295,BulletType!A$1:G$35,7)</f>
        <v>1.6,0.4</v>
      </c>
      <c r="H295" s="2">
        <f t="shared" si="17"/>
        <v>1</v>
      </c>
      <c r="I295">
        <f>VLOOKUP(O295,BulletType!A$1:F$35,3)</f>
        <v>1</v>
      </c>
      <c r="J295">
        <f>VLOOKUP(O295,BulletType!A$1:F$35,4)</f>
        <v>0</v>
      </c>
      <c r="K295">
        <f>VLOOKUP(O295,BulletType!A$1:F$35,5)</f>
        <v>4.8</v>
      </c>
      <c r="L295">
        <f>VLOOKUP(O295,BulletType!A$1:F$35,5)</f>
        <v>4.8</v>
      </c>
      <c r="M295">
        <f>VLOOKUP(O295,BulletType!A$1:F$35,6)</f>
        <v>2.4</v>
      </c>
      <c r="N295" s="3" t="str">
        <f>VLOOKUP(P295,BulletColor!A$2:B318,2)</f>
        <v>0.8,0.3,0.3</v>
      </c>
      <c r="O295">
        <v>9</v>
      </c>
      <c r="P295" s="2">
        <v>2</v>
      </c>
      <c r="Q295" s="2">
        <f t="shared" si="20"/>
        <v>1</v>
      </c>
    </row>
    <row r="296" spans="1:17" x14ac:dyDescent="0.2">
      <c r="A296" s="1">
        <f t="shared" si="18"/>
        <v>109030</v>
      </c>
      <c r="B296" s="3" t="str">
        <f>VLOOKUP(O296,BulletType!A$1:F$35,2)&amp;VLOOKUP(P296,BulletColor!A$1:C$25,3)</f>
        <v>铳弹 深紫</v>
      </c>
      <c r="C296" s="3" t="str">
        <f t="shared" si="19"/>
        <v>Bullet109030</v>
      </c>
      <c r="D296" s="2">
        <f>VLOOKUP(O296,BulletType!A$2:N344,9)</f>
        <v>0</v>
      </c>
      <c r="E296" s="2">
        <f>VLOOKUP(O296,BulletType!A$2:N344,10)</f>
        <v>0</v>
      </c>
      <c r="F296" s="3" t="str">
        <f>CONCATENATE(VLOOKUP(O296,BulletType!A$2:I$35,8),VLOOKUP(P296,BulletColor!A$2:D$16,4))</f>
        <v>Bullet200030</v>
      </c>
      <c r="G296" s="3" t="str">
        <f>VLOOKUP(O296,BulletType!A$1:G$35,7)</f>
        <v>1.6,0.4</v>
      </c>
      <c r="H296" s="2">
        <f t="shared" si="17"/>
        <v>0</v>
      </c>
      <c r="I296">
        <f>VLOOKUP(O296,BulletType!A$1:F$35,3)</f>
        <v>1</v>
      </c>
      <c r="J296">
        <f>VLOOKUP(O296,BulletType!A$1:F$35,4)</f>
        <v>0</v>
      </c>
      <c r="K296">
        <f>VLOOKUP(O296,BulletType!A$1:F$35,5)</f>
        <v>4.8</v>
      </c>
      <c r="L296">
        <f>VLOOKUP(O296,BulletType!A$1:F$35,5)</f>
        <v>4.8</v>
      </c>
      <c r="M296">
        <f>VLOOKUP(O296,BulletType!A$1:F$35,6)</f>
        <v>2.4</v>
      </c>
      <c r="N296" s="3" t="str">
        <f>VLOOKUP(P296,BulletColor!A$2:B319,2)</f>
        <v>1,0.65,1</v>
      </c>
      <c r="O296">
        <v>9</v>
      </c>
      <c r="P296" s="2">
        <v>3</v>
      </c>
      <c r="Q296" s="2">
        <f t="shared" si="20"/>
        <v>0</v>
      </c>
    </row>
    <row r="297" spans="1:17" x14ac:dyDescent="0.2">
      <c r="A297" s="1">
        <f t="shared" si="18"/>
        <v>109031</v>
      </c>
      <c r="B297" s="3" t="str">
        <f>VLOOKUP(O297,BulletType!A$1:F$35,2)&amp;VLOOKUP(P297,BulletColor!A$1:C$25,3)</f>
        <v>铳弹 深紫</v>
      </c>
      <c r="C297" s="3" t="str">
        <f t="shared" si="19"/>
        <v>Bullet109030</v>
      </c>
      <c r="D297" s="2">
        <f>VLOOKUP(O297,BulletType!A$2:N345,9)</f>
        <v>0</v>
      </c>
      <c r="E297" s="2">
        <f>VLOOKUP(O297,BulletType!A$2:N345,10)</f>
        <v>0</v>
      </c>
      <c r="F297" s="3" t="str">
        <f>CONCATENATE(VLOOKUP(O297,BulletType!A$2:I$35,8),VLOOKUP(P297,BulletColor!A$2:D$16,4))</f>
        <v>Bullet200030</v>
      </c>
      <c r="G297" s="3" t="str">
        <f>VLOOKUP(O297,BulletType!A$1:G$35,7)</f>
        <v>1.6,0.4</v>
      </c>
      <c r="H297" s="2">
        <f t="shared" si="17"/>
        <v>1</v>
      </c>
      <c r="I297">
        <f>VLOOKUP(O297,BulletType!A$1:F$35,3)</f>
        <v>1</v>
      </c>
      <c r="J297">
        <f>VLOOKUP(O297,BulletType!A$1:F$35,4)</f>
        <v>0</v>
      </c>
      <c r="K297">
        <f>VLOOKUP(O297,BulletType!A$1:F$35,5)</f>
        <v>4.8</v>
      </c>
      <c r="L297">
        <f>VLOOKUP(O297,BulletType!A$1:F$35,5)</f>
        <v>4.8</v>
      </c>
      <c r="M297">
        <f>VLOOKUP(O297,BulletType!A$1:F$35,6)</f>
        <v>2.4</v>
      </c>
      <c r="N297" s="3" t="str">
        <f>VLOOKUP(P297,BulletColor!A$2:B320,2)</f>
        <v>1,0.65,1</v>
      </c>
      <c r="O297">
        <v>9</v>
      </c>
      <c r="P297" s="2">
        <v>3</v>
      </c>
      <c r="Q297" s="2">
        <f t="shared" si="20"/>
        <v>1</v>
      </c>
    </row>
    <row r="298" spans="1:17" x14ac:dyDescent="0.2">
      <c r="A298" s="1">
        <f t="shared" si="18"/>
        <v>109040</v>
      </c>
      <c r="B298" s="3" t="str">
        <f>VLOOKUP(O298,BulletType!A$1:F$35,2)&amp;VLOOKUP(P298,BulletColor!A$1:C$25,3)</f>
        <v>铳弹 紫</v>
      </c>
      <c r="C298" s="3" t="str">
        <f t="shared" si="19"/>
        <v>Bullet109040</v>
      </c>
      <c r="D298" s="2">
        <f>VLOOKUP(O298,BulletType!A$2:N346,9)</f>
        <v>0</v>
      </c>
      <c r="E298" s="2">
        <f>VLOOKUP(O298,BulletType!A$2:N346,10)</f>
        <v>0</v>
      </c>
      <c r="F298" s="3" t="str">
        <f>CONCATENATE(VLOOKUP(O298,BulletType!A$2:I$35,8),VLOOKUP(P298,BulletColor!A$2:D$16,4))</f>
        <v>Bullet200030</v>
      </c>
      <c r="G298" s="3" t="str">
        <f>VLOOKUP(O298,BulletType!A$1:G$35,7)</f>
        <v>1.6,0.4</v>
      </c>
      <c r="H298" s="2">
        <f t="shared" si="17"/>
        <v>0</v>
      </c>
      <c r="I298">
        <f>VLOOKUP(O298,BulletType!A$1:F$35,3)</f>
        <v>1</v>
      </c>
      <c r="J298">
        <f>VLOOKUP(O298,BulletType!A$1:F$35,4)</f>
        <v>0</v>
      </c>
      <c r="K298">
        <f>VLOOKUP(O298,BulletType!A$1:F$35,5)</f>
        <v>4.8</v>
      </c>
      <c r="L298">
        <f>VLOOKUP(O298,BulletType!A$1:F$35,5)</f>
        <v>4.8</v>
      </c>
      <c r="M298">
        <f>VLOOKUP(O298,BulletType!A$1:F$35,6)</f>
        <v>2.4</v>
      </c>
      <c r="N298" s="3" t="str">
        <f>VLOOKUP(P298,BulletColor!A$2:B321,2)</f>
        <v>1,0.65,1</v>
      </c>
      <c r="O298">
        <v>9</v>
      </c>
      <c r="P298" s="2">
        <v>4</v>
      </c>
      <c r="Q298" s="2">
        <f t="shared" si="20"/>
        <v>0</v>
      </c>
    </row>
    <row r="299" spans="1:17" x14ac:dyDescent="0.2">
      <c r="A299" s="1">
        <f t="shared" si="18"/>
        <v>109041</v>
      </c>
      <c r="B299" s="3" t="str">
        <f>VLOOKUP(O299,BulletType!A$1:F$35,2)&amp;VLOOKUP(P299,BulletColor!A$1:C$25,3)</f>
        <v>铳弹 紫</v>
      </c>
      <c r="C299" s="3" t="str">
        <f t="shared" si="19"/>
        <v>Bullet109040</v>
      </c>
      <c r="D299" s="2">
        <f>VLOOKUP(O299,BulletType!A$2:N347,9)</f>
        <v>0</v>
      </c>
      <c r="E299" s="2">
        <f>VLOOKUP(O299,BulletType!A$2:N347,10)</f>
        <v>0</v>
      </c>
      <c r="F299" s="3" t="str">
        <f>CONCATENATE(VLOOKUP(O299,BulletType!A$2:I$35,8),VLOOKUP(P299,BulletColor!A$2:D$16,4))</f>
        <v>Bullet200030</v>
      </c>
      <c r="G299" s="3" t="str">
        <f>VLOOKUP(O299,BulletType!A$1:G$35,7)</f>
        <v>1.6,0.4</v>
      </c>
      <c r="H299" s="2">
        <f t="shared" si="17"/>
        <v>1</v>
      </c>
      <c r="I299">
        <f>VLOOKUP(O299,BulletType!A$1:F$35,3)</f>
        <v>1</v>
      </c>
      <c r="J299">
        <f>VLOOKUP(O299,BulletType!A$1:F$35,4)</f>
        <v>0</v>
      </c>
      <c r="K299">
        <f>VLOOKUP(O299,BulletType!A$1:F$35,5)</f>
        <v>4.8</v>
      </c>
      <c r="L299">
        <f>VLOOKUP(O299,BulletType!A$1:F$35,5)</f>
        <v>4.8</v>
      </c>
      <c r="M299">
        <f>VLOOKUP(O299,BulletType!A$1:F$35,6)</f>
        <v>2.4</v>
      </c>
      <c r="N299" s="3" t="str">
        <f>VLOOKUP(P299,BulletColor!A$2:B322,2)</f>
        <v>1,0.65,1</v>
      </c>
      <c r="O299">
        <v>9</v>
      </c>
      <c r="P299" s="2">
        <v>4</v>
      </c>
      <c r="Q299" s="2">
        <f t="shared" si="20"/>
        <v>1</v>
      </c>
    </row>
    <row r="300" spans="1:17" x14ac:dyDescent="0.2">
      <c r="A300" s="1">
        <f t="shared" si="18"/>
        <v>109050</v>
      </c>
      <c r="B300" s="3" t="str">
        <f>VLOOKUP(O300,BulletType!A$1:F$35,2)&amp;VLOOKUP(P300,BulletColor!A$1:C$25,3)</f>
        <v>铳弹 深蓝</v>
      </c>
      <c r="C300" s="3" t="str">
        <f t="shared" si="19"/>
        <v>Bullet109050</v>
      </c>
      <c r="D300" s="2">
        <f>VLOOKUP(O300,BulletType!A$2:N348,9)</f>
        <v>0</v>
      </c>
      <c r="E300" s="2">
        <f>VLOOKUP(O300,BulletType!A$2:N348,10)</f>
        <v>0</v>
      </c>
      <c r="F300" s="3" t="str">
        <f>CONCATENATE(VLOOKUP(O300,BulletType!A$2:I$35,8),VLOOKUP(P300,BulletColor!A$2:D$16,4))</f>
        <v>Bullet200050</v>
      </c>
      <c r="G300" s="3" t="str">
        <f>VLOOKUP(O300,BulletType!A$1:G$35,7)</f>
        <v>1.6,0.4</v>
      </c>
      <c r="H300" s="2">
        <f t="shared" si="17"/>
        <v>0</v>
      </c>
      <c r="I300">
        <f>VLOOKUP(O300,BulletType!A$1:F$35,3)</f>
        <v>1</v>
      </c>
      <c r="J300">
        <f>VLOOKUP(O300,BulletType!A$1:F$35,4)</f>
        <v>0</v>
      </c>
      <c r="K300">
        <f>VLOOKUP(O300,BulletType!A$1:F$35,5)</f>
        <v>4.8</v>
      </c>
      <c r="L300">
        <f>VLOOKUP(O300,BulletType!A$1:F$35,5)</f>
        <v>4.8</v>
      </c>
      <c r="M300">
        <f>VLOOKUP(O300,BulletType!A$1:F$35,6)</f>
        <v>2.4</v>
      </c>
      <c r="N300" s="3" t="str">
        <f>VLOOKUP(P300,BulletColor!A$2:B323,2)</f>
        <v>0,0.1,1</v>
      </c>
      <c r="O300">
        <v>9</v>
      </c>
      <c r="P300" s="2">
        <v>5</v>
      </c>
      <c r="Q300" s="2">
        <f t="shared" si="20"/>
        <v>0</v>
      </c>
    </row>
    <row r="301" spans="1:17" x14ac:dyDescent="0.2">
      <c r="A301" s="1">
        <f t="shared" si="18"/>
        <v>109051</v>
      </c>
      <c r="B301" s="3" t="str">
        <f>VLOOKUP(O301,BulletType!A$1:F$35,2)&amp;VLOOKUP(P301,BulletColor!A$1:C$25,3)</f>
        <v>铳弹 深蓝</v>
      </c>
      <c r="C301" s="3" t="str">
        <f t="shared" si="19"/>
        <v>Bullet109050</v>
      </c>
      <c r="D301" s="2">
        <f>VLOOKUP(O301,BulletType!A$2:N349,9)</f>
        <v>0</v>
      </c>
      <c r="E301" s="2">
        <f>VLOOKUP(O301,BulletType!A$2:N349,10)</f>
        <v>0</v>
      </c>
      <c r="F301" s="3" t="str">
        <f>CONCATENATE(VLOOKUP(O301,BulletType!A$2:I$35,8),VLOOKUP(P301,BulletColor!A$2:D$16,4))</f>
        <v>Bullet200050</v>
      </c>
      <c r="G301" s="3" t="str">
        <f>VLOOKUP(O301,BulletType!A$1:G$35,7)</f>
        <v>1.6,0.4</v>
      </c>
      <c r="H301" s="2">
        <f t="shared" si="17"/>
        <v>1</v>
      </c>
      <c r="I301">
        <f>VLOOKUP(O301,BulletType!A$1:F$35,3)</f>
        <v>1</v>
      </c>
      <c r="J301">
        <f>VLOOKUP(O301,BulletType!A$1:F$35,4)</f>
        <v>0</v>
      </c>
      <c r="K301">
        <f>VLOOKUP(O301,BulletType!A$1:F$35,5)</f>
        <v>4.8</v>
      </c>
      <c r="L301">
        <f>VLOOKUP(O301,BulletType!A$1:F$35,5)</f>
        <v>4.8</v>
      </c>
      <c r="M301">
        <f>VLOOKUP(O301,BulletType!A$1:F$35,6)</f>
        <v>2.4</v>
      </c>
      <c r="N301" s="3" t="str">
        <f>VLOOKUP(P301,BulletColor!A$2:B324,2)</f>
        <v>0,0.1,1</v>
      </c>
      <c r="O301">
        <v>9</v>
      </c>
      <c r="P301" s="2">
        <v>5</v>
      </c>
      <c r="Q301" s="2">
        <f t="shared" si="20"/>
        <v>1</v>
      </c>
    </row>
    <row r="302" spans="1:17" x14ac:dyDescent="0.2">
      <c r="A302" s="1">
        <f t="shared" si="18"/>
        <v>109060</v>
      </c>
      <c r="B302" s="3" t="str">
        <f>VLOOKUP(O302,BulletType!A$1:F$35,2)&amp;VLOOKUP(P302,BulletColor!A$1:C$25,3)</f>
        <v>铳弹 蓝</v>
      </c>
      <c r="C302" s="3" t="str">
        <f t="shared" si="19"/>
        <v>Bullet109060</v>
      </c>
      <c r="D302" s="2">
        <f>VLOOKUP(O302,BulletType!A$2:N350,9)</f>
        <v>0</v>
      </c>
      <c r="E302" s="2">
        <f>VLOOKUP(O302,BulletType!A$2:N350,10)</f>
        <v>0</v>
      </c>
      <c r="F302" s="3" t="str">
        <f>CONCATENATE(VLOOKUP(O302,BulletType!A$2:I$35,8),VLOOKUP(P302,BulletColor!A$2:D$16,4))</f>
        <v>Bullet200050</v>
      </c>
      <c r="G302" s="3" t="str">
        <f>VLOOKUP(O302,BulletType!A$1:G$35,7)</f>
        <v>1.6,0.4</v>
      </c>
      <c r="H302" s="2">
        <f t="shared" si="17"/>
        <v>0</v>
      </c>
      <c r="I302">
        <f>VLOOKUP(O302,BulletType!A$1:F$35,3)</f>
        <v>1</v>
      </c>
      <c r="J302">
        <f>VLOOKUP(O302,BulletType!A$1:F$35,4)</f>
        <v>0</v>
      </c>
      <c r="K302">
        <f>VLOOKUP(O302,BulletType!A$1:F$35,5)</f>
        <v>4.8</v>
      </c>
      <c r="L302">
        <f>VLOOKUP(O302,BulletType!A$1:F$35,5)</f>
        <v>4.8</v>
      </c>
      <c r="M302">
        <f>VLOOKUP(O302,BulletType!A$1:F$35,6)</f>
        <v>2.4</v>
      </c>
      <c r="N302" s="3" t="str">
        <f>VLOOKUP(P302,BulletColor!A$2:B325,2)</f>
        <v>0,0.1,1</v>
      </c>
      <c r="O302">
        <v>9</v>
      </c>
      <c r="P302" s="2">
        <v>6</v>
      </c>
      <c r="Q302" s="2">
        <f t="shared" si="20"/>
        <v>0</v>
      </c>
    </row>
    <row r="303" spans="1:17" x14ac:dyDescent="0.2">
      <c r="A303" s="1">
        <f t="shared" si="18"/>
        <v>109061</v>
      </c>
      <c r="B303" s="3" t="str">
        <f>VLOOKUP(O303,BulletType!A$1:F$35,2)&amp;VLOOKUP(P303,BulletColor!A$1:C$25,3)</f>
        <v>铳弹 蓝</v>
      </c>
      <c r="C303" s="3" t="str">
        <f t="shared" si="19"/>
        <v>Bullet109060</v>
      </c>
      <c r="D303" s="2">
        <f>VLOOKUP(O303,BulletType!A$2:N351,9)</f>
        <v>0</v>
      </c>
      <c r="E303" s="2">
        <f>VLOOKUP(O303,BulletType!A$2:N351,10)</f>
        <v>0</v>
      </c>
      <c r="F303" s="3" t="str">
        <f>CONCATENATE(VLOOKUP(O303,BulletType!A$2:I$35,8),VLOOKUP(P303,BulletColor!A$2:D$16,4))</f>
        <v>Bullet200050</v>
      </c>
      <c r="G303" s="3" t="str">
        <f>VLOOKUP(O303,BulletType!A$1:G$35,7)</f>
        <v>1.6,0.4</v>
      </c>
      <c r="H303" s="2">
        <f t="shared" si="17"/>
        <v>1</v>
      </c>
      <c r="I303">
        <f>VLOOKUP(O303,BulletType!A$1:F$35,3)</f>
        <v>1</v>
      </c>
      <c r="J303">
        <f>VLOOKUP(O303,BulletType!A$1:F$35,4)</f>
        <v>0</v>
      </c>
      <c r="K303">
        <f>VLOOKUP(O303,BulletType!A$1:F$35,5)</f>
        <v>4.8</v>
      </c>
      <c r="L303">
        <f>VLOOKUP(O303,BulletType!A$1:F$35,5)</f>
        <v>4.8</v>
      </c>
      <c r="M303">
        <f>VLOOKUP(O303,BulletType!A$1:F$35,6)</f>
        <v>2.4</v>
      </c>
      <c r="N303" s="3" t="str">
        <f>VLOOKUP(P303,BulletColor!A$2:B326,2)</f>
        <v>0,0.1,1</v>
      </c>
      <c r="O303">
        <v>9</v>
      </c>
      <c r="P303" s="2">
        <v>6</v>
      </c>
      <c r="Q303" s="2">
        <f t="shared" si="20"/>
        <v>1</v>
      </c>
    </row>
    <row r="304" spans="1:17" x14ac:dyDescent="0.2">
      <c r="A304" s="1">
        <f t="shared" si="18"/>
        <v>109070</v>
      </c>
      <c r="B304" s="3" t="str">
        <f>VLOOKUP(O304,BulletType!A$1:F$35,2)&amp;VLOOKUP(P304,BulletColor!A$1:C$25,3)</f>
        <v>铳弹 深青</v>
      </c>
      <c r="C304" s="3" t="str">
        <f t="shared" si="19"/>
        <v>Bullet109070</v>
      </c>
      <c r="D304" s="2">
        <f>VLOOKUP(O304,BulletType!A$2:N352,9)</f>
        <v>0</v>
      </c>
      <c r="E304" s="2">
        <f>VLOOKUP(O304,BulletType!A$2:N352,10)</f>
        <v>0</v>
      </c>
      <c r="F304" s="3" t="str">
        <f>CONCATENATE(VLOOKUP(O304,BulletType!A$2:I$35,8),VLOOKUP(P304,BulletColor!A$2:D$16,4))</f>
        <v>Bullet200070</v>
      </c>
      <c r="G304" s="3" t="str">
        <f>VLOOKUP(O304,BulletType!A$1:G$35,7)</f>
        <v>1.6,0.4</v>
      </c>
      <c r="H304" s="2">
        <f t="shared" si="17"/>
        <v>0</v>
      </c>
      <c r="I304">
        <f>VLOOKUP(O304,BulletType!A$1:F$35,3)</f>
        <v>1</v>
      </c>
      <c r="J304">
        <f>VLOOKUP(O304,BulletType!A$1:F$35,4)</f>
        <v>0</v>
      </c>
      <c r="K304">
        <f>VLOOKUP(O304,BulletType!A$1:F$35,5)</f>
        <v>4.8</v>
      </c>
      <c r="L304">
        <f>VLOOKUP(O304,BulletType!A$1:F$35,5)</f>
        <v>4.8</v>
      </c>
      <c r="M304">
        <f>VLOOKUP(O304,BulletType!A$1:F$35,6)</f>
        <v>2.4</v>
      </c>
      <c r="N304" s="3" t="str">
        <f>VLOOKUP(P304,BulletColor!A$2:B327,2)</f>
        <v>0.25,1,1</v>
      </c>
      <c r="O304">
        <v>9</v>
      </c>
      <c r="P304" s="2">
        <v>7</v>
      </c>
      <c r="Q304" s="2">
        <f t="shared" si="20"/>
        <v>0</v>
      </c>
    </row>
    <row r="305" spans="1:17" x14ac:dyDescent="0.2">
      <c r="A305" s="1">
        <f t="shared" si="18"/>
        <v>109071</v>
      </c>
      <c r="B305" s="3" t="str">
        <f>VLOOKUP(O305,BulletType!A$1:F$35,2)&amp;VLOOKUP(P305,BulletColor!A$1:C$25,3)</f>
        <v>铳弹 深青</v>
      </c>
      <c r="C305" s="3" t="str">
        <f t="shared" si="19"/>
        <v>Bullet109070</v>
      </c>
      <c r="D305" s="2">
        <f>VLOOKUP(O305,BulletType!A$2:N353,9)</f>
        <v>0</v>
      </c>
      <c r="E305" s="2">
        <f>VLOOKUP(O305,BulletType!A$2:N353,10)</f>
        <v>0</v>
      </c>
      <c r="F305" s="3" t="str">
        <f>CONCATENATE(VLOOKUP(O305,BulletType!A$2:I$35,8),VLOOKUP(P305,BulletColor!A$2:D$16,4))</f>
        <v>Bullet200070</v>
      </c>
      <c r="G305" s="3" t="str">
        <f>VLOOKUP(O305,BulletType!A$1:G$35,7)</f>
        <v>1.6,0.4</v>
      </c>
      <c r="H305" s="2">
        <f t="shared" si="17"/>
        <v>1</v>
      </c>
      <c r="I305">
        <f>VLOOKUP(O305,BulletType!A$1:F$35,3)</f>
        <v>1</v>
      </c>
      <c r="J305">
        <f>VLOOKUP(O305,BulletType!A$1:F$35,4)</f>
        <v>0</v>
      </c>
      <c r="K305">
        <f>VLOOKUP(O305,BulletType!A$1:F$35,5)</f>
        <v>4.8</v>
      </c>
      <c r="L305">
        <f>VLOOKUP(O305,BulletType!A$1:F$35,5)</f>
        <v>4.8</v>
      </c>
      <c r="M305">
        <f>VLOOKUP(O305,BulletType!A$1:F$35,6)</f>
        <v>2.4</v>
      </c>
      <c r="N305" s="3" t="str">
        <f>VLOOKUP(P305,BulletColor!A$2:B328,2)</f>
        <v>0.25,1,1</v>
      </c>
      <c r="O305">
        <v>9</v>
      </c>
      <c r="P305" s="2">
        <v>7</v>
      </c>
      <c r="Q305" s="2">
        <f t="shared" si="20"/>
        <v>1</v>
      </c>
    </row>
    <row r="306" spans="1:17" x14ac:dyDescent="0.2">
      <c r="A306" s="1">
        <f t="shared" si="18"/>
        <v>109080</v>
      </c>
      <c r="B306" s="3" t="str">
        <f>VLOOKUP(O306,BulletType!A$1:F$35,2)&amp;VLOOKUP(P306,BulletColor!A$1:C$25,3)</f>
        <v>铳弹 青</v>
      </c>
      <c r="C306" s="3" t="str">
        <f t="shared" si="19"/>
        <v>Bullet109080</v>
      </c>
      <c r="D306" s="2">
        <f>VLOOKUP(O306,BulletType!A$2:N354,9)</f>
        <v>0</v>
      </c>
      <c r="E306" s="2">
        <f>VLOOKUP(O306,BulletType!A$2:N354,10)</f>
        <v>0</v>
      </c>
      <c r="F306" s="3" t="str">
        <f>CONCATENATE(VLOOKUP(O306,BulletType!A$2:I$35,8),VLOOKUP(P306,BulletColor!A$2:D$16,4))</f>
        <v>Bullet200070</v>
      </c>
      <c r="G306" s="3" t="str">
        <f>VLOOKUP(O306,BulletType!A$1:G$35,7)</f>
        <v>1.6,0.4</v>
      </c>
      <c r="H306" s="2">
        <f t="shared" si="17"/>
        <v>0</v>
      </c>
      <c r="I306">
        <f>VLOOKUP(O306,BulletType!A$1:F$35,3)</f>
        <v>1</v>
      </c>
      <c r="J306">
        <f>VLOOKUP(O306,BulletType!A$1:F$35,4)</f>
        <v>0</v>
      </c>
      <c r="K306">
        <f>VLOOKUP(O306,BulletType!A$1:F$35,5)</f>
        <v>4.8</v>
      </c>
      <c r="L306">
        <f>VLOOKUP(O306,BulletType!A$1:F$35,5)</f>
        <v>4.8</v>
      </c>
      <c r="M306">
        <f>VLOOKUP(O306,BulletType!A$1:F$35,6)</f>
        <v>2.4</v>
      </c>
      <c r="N306" s="3" t="str">
        <f>VLOOKUP(P306,BulletColor!A$2:B329,2)</f>
        <v>0.25,1,1</v>
      </c>
      <c r="O306">
        <v>9</v>
      </c>
      <c r="P306" s="2">
        <v>8</v>
      </c>
      <c r="Q306" s="2">
        <f t="shared" si="20"/>
        <v>0</v>
      </c>
    </row>
    <row r="307" spans="1:17" x14ac:dyDescent="0.2">
      <c r="A307" s="1">
        <f t="shared" si="18"/>
        <v>109081</v>
      </c>
      <c r="B307" s="3" t="str">
        <f>VLOOKUP(O307,BulletType!A$1:F$35,2)&amp;VLOOKUP(P307,BulletColor!A$1:C$25,3)</f>
        <v>铳弹 青</v>
      </c>
      <c r="C307" s="3" t="str">
        <f t="shared" si="19"/>
        <v>Bullet109080</v>
      </c>
      <c r="D307" s="2">
        <f>VLOOKUP(O307,BulletType!A$2:N355,9)</f>
        <v>0</v>
      </c>
      <c r="E307" s="2">
        <f>VLOOKUP(O307,BulletType!A$2:N355,10)</f>
        <v>0</v>
      </c>
      <c r="F307" s="3" t="str">
        <f>CONCATENATE(VLOOKUP(O307,BulletType!A$2:I$35,8),VLOOKUP(P307,BulletColor!A$2:D$16,4))</f>
        <v>Bullet200070</v>
      </c>
      <c r="G307" s="3" t="str">
        <f>VLOOKUP(O307,BulletType!A$1:G$35,7)</f>
        <v>1.6,0.4</v>
      </c>
      <c r="H307" s="2">
        <f t="shared" si="17"/>
        <v>1</v>
      </c>
      <c r="I307">
        <f>VLOOKUP(O307,BulletType!A$1:F$35,3)</f>
        <v>1</v>
      </c>
      <c r="J307">
        <f>VLOOKUP(O307,BulletType!A$1:F$35,4)</f>
        <v>0</v>
      </c>
      <c r="K307">
        <f>VLOOKUP(O307,BulletType!A$1:F$35,5)</f>
        <v>4.8</v>
      </c>
      <c r="L307">
        <f>VLOOKUP(O307,BulletType!A$1:F$35,5)</f>
        <v>4.8</v>
      </c>
      <c r="M307">
        <f>VLOOKUP(O307,BulletType!A$1:F$35,6)</f>
        <v>2.4</v>
      </c>
      <c r="N307" s="3" t="str">
        <f>VLOOKUP(P307,BulletColor!A$2:B330,2)</f>
        <v>0.25,1,1</v>
      </c>
      <c r="O307">
        <v>9</v>
      </c>
      <c r="P307" s="2">
        <v>8</v>
      </c>
      <c r="Q307" s="2">
        <f t="shared" si="20"/>
        <v>1</v>
      </c>
    </row>
    <row r="308" spans="1:17" x14ac:dyDescent="0.2">
      <c r="A308" s="1">
        <f t="shared" si="18"/>
        <v>109090</v>
      </c>
      <c r="B308" s="3" t="str">
        <f>VLOOKUP(O308,BulletType!A$1:F$35,2)&amp;VLOOKUP(P308,BulletColor!A$1:C$25,3)</f>
        <v>铳弹 深绿</v>
      </c>
      <c r="C308" s="3" t="str">
        <f t="shared" si="19"/>
        <v>Bullet109090</v>
      </c>
      <c r="D308" s="2">
        <f>VLOOKUP(O308,BulletType!A$2:N356,9)</f>
        <v>0</v>
      </c>
      <c r="E308" s="2">
        <f>VLOOKUP(O308,BulletType!A$2:N356,10)</f>
        <v>0</v>
      </c>
      <c r="F308" s="3" t="str">
        <f>CONCATENATE(VLOOKUP(O308,BulletType!A$2:I$35,8),VLOOKUP(P308,BulletColor!A$2:D$16,4))</f>
        <v>Bullet200090</v>
      </c>
      <c r="G308" s="3" t="str">
        <f>VLOOKUP(O308,BulletType!A$1:G$35,7)</f>
        <v>1.6,0.4</v>
      </c>
      <c r="H308" s="2">
        <f t="shared" si="17"/>
        <v>0</v>
      </c>
      <c r="I308">
        <f>VLOOKUP(O308,BulletType!A$1:F$35,3)</f>
        <v>1</v>
      </c>
      <c r="J308">
        <f>VLOOKUP(O308,BulletType!A$1:F$35,4)</f>
        <v>0</v>
      </c>
      <c r="K308">
        <f>VLOOKUP(O308,BulletType!A$1:F$35,5)</f>
        <v>4.8</v>
      </c>
      <c r="L308">
        <f>VLOOKUP(O308,BulletType!A$1:F$35,5)</f>
        <v>4.8</v>
      </c>
      <c r="M308">
        <f>VLOOKUP(O308,BulletType!A$1:F$35,6)</f>
        <v>2.4</v>
      </c>
      <c r="N308" s="3" t="str">
        <f>VLOOKUP(P308,BulletColor!A$2:B331,2)</f>
        <v>0.36,0.78,1</v>
      </c>
      <c r="O308">
        <v>9</v>
      </c>
      <c r="P308" s="2">
        <v>9</v>
      </c>
      <c r="Q308" s="2">
        <f t="shared" si="20"/>
        <v>0</v>
      </c>
    </row>
    <row r="309" spans="1:17" x14ac:dyDescent="0.2">
      <c r="A309" s="1">
        <f t="shared" si="18"/>
        <v>109091</v>
      </c>
      <c r="B309" s="3" t="str">
        <f>VLOOKUP(O309,BulletType!A$1:F$35,2)&amp;VLOOKUP(P309,BulletColor!A$1:C$25,3)</f>
        <v>铳弹 深绿</v>
      </c>
      <c r="C309" s="3" t="str">
        <f t="shared" si="19"/>
        <v>Bullet109090</v>
      </c>
      <c r="D309" s="2">
        <f>VLOOKUP(O309,BulletType!A$2:N357,9)</f>
        <v>0</v>
      </c>
      <c r="E309" s="2">
        <f>VLOOKUP(O309,BulletType!A$2:N357,10)</f>
        <v>0</v>
      </c>
      <c r="F309" s="3" t="str">
        <f>CONCATENATE(VLOOKUP(O309,BulletType!A$2:I$35,8),VLOOKUP(P309,BulletColor!A$2:D$16,4))</f>
        <v>Bullet200090</v>
      </c>
      <c r="G309" s="3" t="str">
        <f>VLOOKUP(O309,BulletType!A$1:G$35,7)</f>
        <v>1.6,0.4</v>
      </c>
      <c r="H309" s="2">
        <f t="shared" si="17"/>
        <v>1</v>
      </c>
      <c r="I309">
        <f>VLOOKUP(O309,BulletType!A$1:F$35,3)</f>
        <v>1</v>
      </c>
      <c r="J309">
        <f>VLOOKUP(O309,BulletType!A$1:F$35,4)</f>
        <v>0</v>
      </c>
      <c r="K309">
        <f>VLOOKUP(O309,BulletType!A$1:F$35,5)</f>
        <v>4.8</v>
      </c>
      <c r="L309">
        <f>VLOOKUP(O309,BulletType!A$1:F$35,5)</f>
        <v>4.8</v>
      </c>
      <c r="M309">
        <f>VLOOKUP(O309,BulletType!A$1:F$35,6)</f>
        <v>2.4</v>
      </c>
      <c r="N309" s="3" t="str">
        <f>VLOOKUP(P309,BulletColor!A$2:B332,2)</f>
        <v>0.36,0.78,1</v>
      </c>
      <c r="O309">
        <v>9</v>
      </c>
      <c r="P309" s="2">
        <v>9</v>
      </c>
      <c r="Q309" s="2">
        <f t="shared" si="20"/>
        <v>1</v>
      </c>
    </row>
    <row r="310" spans="1:17" x14ac:dyDescent="0.2">
      <c r="A310" s="1">
        <f t="shared" si="18"/>
        <v>109100</v>
      </c>
      <c r="B310" s="3" t="str">
        <f>VLOOKUP(O310,BulletType!A$1:F$35,2)&amp;VLOOKUP(P310,BulletColor!A$1:C$25,3)</f>
        <v>铳弹 绿</v>
      </c>
      <c r="C310" s="3" t="str">
        <f t="shared" si="19"/>
        <v>Bullet109100</v>
      </c>
      <c r="D310" s="2">
        <f>VLOOKUP(O310,BulletType!A$2:N358,9)</f>
        <v>0</v>
      </c>
      <c r="E310" s="2">
        <f>VLOOKUP(O310,BulletType!A$2:N358,10)</f>
        <v>0</v>
      </c>
      <c r="F310" s="3" t="str">
        <f>CONCATENATE(VLOOKUP(O310,BulletType!A$2:I$35,8),VLOOKUP(P310,BulletColor!A$2:D$16,4))</f>
        <v>Bullet200090</v>
      </c>
      <c r="G310" s="3" t="str">
        <f>VLOOKUP(O310,BulletType!A$1:G$35,7)</f>
        <v>1.6,0.4</v>
      </c>
      <c r="H310" s="2">
        <f t="shared" si="17"/>
        <v>0</v>
      </c>
      <c r="I310">
        <f>VLOOKUP(O310,BulletType!A$1:F$35,3)</f>
        <v>1</v>
      </c>
      <c r="J310">
        <f>VLOOKUP(O310,BulletType!A$1:F$35,4)</f>
        <v>0</v>
      </c>
      <c r="K310">
        <f>VLOOKUP(O310,BulletType!A$1:F$35,5)</f>
        <v>4.8</v>
      </c>
      <c r="L310">
        <f>VLOOKUP(O310,BulletType!A$1:F$35,5)</f>
        <v>4.8</v>
      </c>
      <c r="M310">
        <f>VLOOKUP(O310,BulletType!A$1:F$35,6)</f>
        <v>2.4</v>
      </c>
      <c r="N310" s="3" t="str">
        <f>VLOOKUP(P310,BulletColor!A$2:B333,2)</f>
        <v>0.36,0.78,1</v>
      </c>
      <c r="O310">
        <v>9</v>
      </c>
      <c r="P310" s="2">
        <v>10</v>
      </c>
      <c r="Q310" s="2">
        <f t="shared" si="20"/>
        <v>0</v>
      </c>
    </row>
    <row r="311" spans="1:17" x14ac:dyDescent="0.2">
      <c r="A311" s="1">
        <f t="shared" si="18"/>
        <v>109101</v>
      </c>
      <c r="B311" s="3" t="str">
        <f>VLOOKUP(O311,BulletType!A$1:F$35,2)&amp;VLOOKUP(P311,BulletColor!A$1:C$25,3)</f>
        <v>铳弹 绿</v>
      </c>
      <c r="C311" s="3" t="str">
        <f t="shared" si="19"/>
        <v>Bullet109100</v>
      </c>
      <c r="D311" s="2">
        <f>VLOOKUP(O311,BulletType!A$2:N359,9)</f>
        <v>0</v>
      </c>
      <c r="E311" s="2">
        <f>VLOOKUP(O311,BulletType!A$2:N359,10)</f>
        <v>0</v>
      </c>
      <c r="F311" s="3" t="str">
        <f>CONCATENATE(VLOOKUP(O311,BulletType!A$2:I$35,8),VLOOKUP(P311,BulletColor!A$2:D$16,4))</f>
        <v>Bullet200090</v>
      </c>
      <c r="G311" s="3" t="str">
        <f>VLOOKUP(O311,BulletType!A$1:G$35,7)</f>
        <v>1.6,0.4</v>
      </c>
      <c r="H311" s="2">
        <f t="shared" si="17"/>
        <v>1</v>
      </c>
      <c r="I311">
        <f>VLOOKUP(O311,BulletType!A$1:F$35,3)</f>
        <v>1</v>
      </c>
      <c r="J311">
        <f>VLOOKUP(O311,BulletType!A$1:F$35,4)</f>
        <v>0</v>
      </c>
      <c r="K311">
        <f>VLOOKUP(O311,BulletType!A$1:F$35,5)</f>
        <v>4.8</v>
      </c>
      <c r="L311">
        <f>VLOOKUP(O311,BulletType!A$1:F$35,5)</f>
        <v>4.8</v>
      </c>
      <c r="M311">
        <f>VLOOKUP(O311,BulletType!A$1:F$35,6)</f>
        <v>2.4</v>
      </c>
      <c r="N311" s="3" t="str">
        <f>VLOOKUP(P311,BulletColor!A$2:B334,2)</f>
        <v>0.36,0.78,1</v>
      </c>
      <c r="O311">
        <v>9</v>
      </c>
      <c r="P311" s="2">
        <v>10</v>
      </c>
      <c r="Q311" s="2">
        <f t="shared" si="20"/>
        <v>1</v>
      </c>
    </row>
    <row r="312" spans="1:17" x14ac:dyDescent="0.2">
      <c r="A312" s="1">
        <f t="shared" si="18"/>
        <v>109110</v>
      </c>
      <c r="B312" s="3" t="str">
        <f>VLOOKUP(O312,BulletType!A$1:F$35,2)&amp;VLOOKUP(P312,BulletColor!A$1:C$25,3)</f>
        <v>铳弹 黄绿</v>
      </c>
      <c r="C312" s="3" t="str">
        <f t="shared" si="19"/>
        <v>Bullet109110</v>
      </c>
      <c r="D312" s="2">
        <f>VLOOKUP(O312,BulletType!A$2:N360,9)</f>
        <v>0</v>
      </c>
      <c r="E312" s="2">
        <f>VLOOKUP(O312,BulletType!A$2:N360,10)</f>
        <v>0</v>
      </c>
      <c r="F312" s="3" t="str">
        <f>CONCATENATE(VLOOKUP(O312,BulletType!A$2:I$35,8),VLOOKUP(P312,BulletColor!A$2:D$16,4))</f>
        <v>Bullet200090</v>
      </c>
      <c r="G312" s="3" t="str">
        <f>VLOOKUP(O312,BulletType!A$1:G$35,7)</f>
        <v>1.6,0.4</v>
      </c>
      <c r="H312" s="2">
        <f t="shared" si="17"/>
        <v>0</v>
      </c>
      <c r="I312">
        <f>VLOOKUP(O312,BulletType!A$1:F$35,3)</f>
        <v>1</v>
      </c>
      <c r="J312">
        <f>VLOOKUP(O312,BulletType!A$1:F$35,4)</f>
        <v>0</v>
      </c>
      <c r="K312">
        <f>VLOOKUP(O312,BulletType!A$1:F$35,5)</f>
        <v>4.8</v>
      </c>
      <c r="L312">
        <f>VLOOKUP(O312,BulletType!A$1:F$35,5)</f>
        <v>4.8</v>
      </c>
      <c r="M312">
        <f>VLOOKUP(O312,BulletType!A$1:F$35,6)</f>
        <v>2.4</v>
      </c>
      <c r="N312" s="3" t="str">
        <f>VLOOKUP(P312,BulletColor!A$2:B335,2)</f>
        <v>0.9,1,0.4</v>
      </c>
      <c r="O312">
        <v>9</v>
      </c>
      <c r="P312" s="2">
        <v>11</v>
      </c>
      <c r="Q312" s="2">
        <f t="shared" si="20"/>
        <v>0</v>
      </c>
    </row>
    <row r="313" spans="1:17" x14ac:dyDescent="0.2">
      <c r="A313" s="1">
        <f t="shared" si="18"/>
        <v>109111</v>
      </c>
      <c r="B313" s="3" t="str">
        <f>VLOOKUP(O313,BulletType!A$1:F$35,2)&amp;VLOOKUP(P313,BulletColor!A$1:C$25,3)</f>
        <v>铳弹 黄绿</v>
      </c>
      <c r="C313" s="3" t="str">
        <f t="shared" si="19"/>
        <v>Bullet109110</v>
      </c>
      <c r="D313" s="2">
        <f>VLOOKUP(O313,BulletType!A$2:N361,9)</f>
        <v>0</v>
      </c>
      <c r="E313" s="2">
        <f>VLOOKUP(O313,BulletType!A$2:N361,10)</f>
        <v>0</v>
      </c>
      <c r="F313" s="3" t="str">
        <f>CONCATENATE(VLOOKUP(O313,BulletType!A$2:I$35,8),VLOOKUP(P313,BulletColor!A$2:D$16,4))</f>
        <v>Bullet200090</v>
      </c>
      <c r="G313" s="3" t="str">
        <f>VLOOKUP(O313,BulletType!A$1:G$35,7)</f>
        <v>1.6,0.4</v>
      </c>
      <c r="H313" s="2">
        <f t="shared" si="17"/>
        <v>1</v>
      </c>
      <c r="I313">
        <f>VLOOKUP(O313,BulletType!A$1:F$35,3)</f>
        <v>1</v>
      </c>
      <c r="J313">
        <f>VLOOKUP(O313,BulletType!A$1:F$35,4)</f>
        <v>0</v>
      </c>
      <c r="K313">
        <f>VLOOKUP(O313,BulletType!A$1:F$35,5)</f>
        <v>4.8</v>
      </c>
      <c r="L313">
        <f>VLOOKUP(O313,BulletType!A$1:F$35,5)</f>
        <v>4.8</v>
      </c>
      <c r="M313">
        <f>VLOOKUP(O313,BulletType!A$1:F$35,6)</f>
        <v>2.4</v>
      </c>
      <c r="N313" s="3" t="str">
        <f>VLOOKUP(P313,BulletColor!A$2:B336,2)</f>
        <v>0.9,1,0.4</v>
      </c>
      <c r="O313">
        <v>9</v>
      </c>
      <c r="P313" s="2">
        <v>11</v>
      </c>
      <c r="Q313" s="2">
        <f t="shared" si="20"/>
        <v>1</v>
      </c>
    </row>
    <row r="314" spans="1:17" x14ac:dyDescent="0.2">
      <c r="A314" s="1">
        <f t="shared" si="18"/>
        <v>109120</v>
      </c>
      <c r="B314" s="3" t="str">
        <f>VLOOKUP(O314,BulletType!A$1:F$35,2)&amp;VLOOKUP(P314,BulletColor!A$1:C$25,3)</f>
        <v>铳弹 深黄</v>
      </c>
      <c r="C314" s="3" t="str">
        <f t="shared" si="19"/>
        <v>Bullet109120</v>
      </c>
      <c r="D314" s="2">
        <f>VLOOKUP(O314,BulletType!A$2:N362,9)</f>
        <v>0</v>
      </c>
      <c r="E314" s="2">
        <f>VLOOKUP(O314,BulletType!A$2:N362,10)</f>
        <v>0</v>
      </c>
      <c r="F314" s="3" t="str">
        <f>CONCATENATE(VLOOKUP(O314,BulletType!A$2:I$35,8),VLOOKUP(P314,BulletColor!A$2:D$16,4))</f>
        <v>Bullet200090</v>
      </c>
      <c r="G314" s="3" t="str">
        <f>VLOOKUP(O314,BulletType!A$1:G$35,7)</f>
        <v>1.6,0.4</v>
      </c>
      <c r="H314" s="2">
        <f t="shared" si="17"/>
        <v>0</v>
      </c>
      <c r="I314">
        <f>VLOOKUP(O314,BulletType!A$1:F$35,3)</f>
        <v>1</v>
      </c>
      <c r="J314">
        <f>VLOOKUP(O314,BulletType!A$1:F$35,4)</f>
        <v>0</v>
      </c>
      <c r="K314">
        <f>VLOOKUP(O314,BulletType!A$1:F$35,5)</f>
        <v>4.8</v>
      </c>
      <c r="L314">
        <f>VLOOKUP(O314,BulletType!A$1:F$35,5)</f>
        <v>4.8</v>
      </c>
      <c r="M314">
        <f>VLOOKUP(O314,BulletType!A$1:F$35,6)</f>
        <v>2.4</v>
      </c>
      <c r="N314" s="3" t="str">
        <f>VLOOKUP(P314,BulletColor!A$2:B337,2)</f>
        <v>0.9,1,0.4</v>
      </c>
      <c r="O314">
        <v>9</v>
      </c>
      <c r="P314" s="2">
        <v>12</v>
      </c>
      <c r="Q314" s="2">
        <f t="shared" si="20"/>
        <v>0</v>
      </c>
    </row>
    <row r="315" spans="1:17" x14ac:dyDescent="0.2">
      <c r="A315" s="1">
        <f t="shared" si="18"/>
        <v>109121</v>
      </c>
      <c r="B315" s="3" t="str">
        <f>VLOOKUP(O315,BulletType!A$1:F$35,2)&amp;VLOOKUP(P315,BulletColor!A$1:C$25,3)</f>
        <v>铳弹 深黄</v>
      </c>
      <c r="C315" s="3" t="str">
        <f t="shared" si="19"/>
        <v>Bullet109120</v>
      </c>
      <c r="D315" s="2">
        <f>VLOOKUP(O315,BulletType!A$2:N363,9)</f>
        <v>0</v>
      </c>
      <c r="E315" s="2">
        <f>VLOOKUP(O315,BulletType!A$2:N363,10)</f>
        <v>0</v>
      </c>
      <c r="F315" s="3" t="str">
        <f>CONCATENATE(VLOOKUP(O315,BulletType!A$2:I$35,8),VLOOKUP(P315,BulletColor!A$2:D$16,4))</f>
        <v>Bullet200090</v>
      </c>
      <c r="G315" s="3" t="str">
        <f>VLOOKUP(O315,BulletType!A$1:G$35,7)</f>
        <v>1.6,0.4</v>
      </c>
      <c r="H315" s="2">
        <f t="shared" si="17"/>
        <v>1</v>
      </c>
      <c r="I315">
        <f>VLOOKUP(O315,BulletType!A$1:F$35,3)</f>
        <v>1</v>
      </c>
      <c r="J315">
        <f>VLOOKUP(O315,BulletType!A$1:F$35,4)</f>
        <v>0</v>
      </c>
      <c r="K315">
        <f>VLOOKUP(O315,BulletType!A$1:F$35,5)</f>
        <v>4.8</v>
      </c>
      <c r="L315">
        <f>VLOOKUP(O315,BulletType!A$1:F$35,5)</f>
        <v>4.8</v>
      </c>
      <c r="M315">
        <f>VLOOKUP(O315,BulletType!A$1:F$35,6)</f>
        <v>2.4</v>
      </c>
      <c r="N315" s="3" t="str">
        <f>VLOOKUP(P315,BulletColor!A$2:B338,2)</f>
        <v>0.9,1,0.4</v>
      </c>
      <c r="O315">
        <v>9</v>
      </c>
      <c r="P315" s="2">
        <v>12</v>
      </c>
      <c r="Q315" s="2">
        <f t="shared" si="20"/>
        <v>1</v>
      </c>
    </row>
    <row r="316" spans="1:17" x14ac:dyDescent="0.2">
      <c r="A316" s="1">
        <f t="shared" si="18"/>
        <v>109130</v>
      </c>
      <c r="B316" s="3" t="str">
        <f>VLOOKUP(O316,BulletType!A$1:F$35,2)&amp;VLOOKUP(P316,BulletColor!A$1:C$25,3)</f>
        <v>铳弹 浅黄</v>
      </c>
      <c r="C316" s="3" t="str">
        <f t="shared" si="19"/>
        <v>Bullet109130</v>
      </c>
      <c r="D316" s="2">
        <f>VLOOKUP(O316,BulletType!A$2:N364,9)</f>
        <v>0</v>
      </c>
      <c r="E316" s="2">
        <f>VLOOKUP(O316,BulletType!A$2:N364,10)</f>
        <v>0</v>
      </c>
      <c r="F316" s="3" t="str">
        <f>CONCATENATE(VLOOKUP(O316,BulletType!A$2:I$35,8),VLOOKUP(P316,BulletColor!A$2:D$16,4))</f>
        <v>Bullet200130</v>
      </c>
      <c r="G316" s="3" t="str">
        <f>VLOOKUP(O316,BulletType!A$1:G$35,7)</f>
        <v>1.6,0.4</v>
      </c>
      <c r="H316" s="2">
        <f t="shared" si="17"/>
        <v>0</v>
      </c>
      <c r="I316">
        <f>VLOOKUP(O316,BulletType!A$1:F$35,3)</f>
        <v>1</v>
      </c>
      <c r="J316">
        <f>VLOOKUP(O316,BulletType!A$1:F$35,4)</f>
        <v>0</v>
      </c>
      <c r="K316">
        <f>VLOOKUP(O316,BulletType!A$1:F$35,5)</f>
        <v>4.8</v>
      </c>
      <c r="L316">
        <f>VLOOKUP(O316,BulletType!A$1:F$35,5)</f>
        <v>4.8</v>
      </c>
      <c r="M316">
        <f>VLOOKUP(O316,BulletType!A$1:F$35,6)</f>
        <v>2.4</v>
      </c>
      <c r="N316" s="3" t="str">
        <f>VLOOKUP(P316,BulletColor!A$2:B339,2)</f>
        <v>0.9,1,0.4</v>
      </c>
      <c r="O316">
        <v>9</v>
      </c>
      <c r="P316" s="2">
        <v>13</v>
      </c>
      <c r="Q316" s="2">
        <f t="shared" si="20"/>
        <v>0</v>
      </c>
    </row>
    <row r="317" spans="1:17" x14ac:dyDescent="0.2">
      <c r="A317" s="1">
        <f t="shared" si="18"/>
        <v>109131</v>
      </c>
      <c r="B317" s="3" t="str">
        <f>VLOOKUP(O317,BulletType!A$1:F$35,2)&amp;VLOOKUP(P317,BulletColor!A$1:C$25,3)</f>
        <v>铳弹 浅黄</v>
      </c>
      <c r="C317" s="3" t="str">
        <f t="shared" si="19"/>
        <v>Bullet109130</v>
      </c>
      <c r="D317" s="2">
        <f>VLOOKUP(O317,BulletType!A$2:N365,9)</f>
        <v>0</v>
      </c>
      <c r="E317" s="2">
        <f>VLOOKUP(O317,BulletType!A$2:N365,10)</f>
        <v>0</v>
      </c>
      <c r="F317" s="3" t="str">
        <f>CONCATENATE(VLOOKUP(O317,BulletType!A$2:I$35,8),VLOOKUP(P317,BulletColor!A$2:D$16,4))</f>
        <v>Bullet200130</v>
      </c>
      <c r="G317" s="3" t="str">
        <f>VLOOKUP(O317,BulletType!A$1:G$35,7)</f>
        <v>1.6,0.4</v>
      </c>
      <c r="H317" s="2">
        <f t="shared" si="17"/>
        <v>1</v>
      </c>
      <c r="I317">
        <f>VLOOKUP(O317,BulletType!A$1:F$35,3)</f>
        <v>1</v>
      </c>
      <c r="J317">
        <f>VLOOKUP(O317,BulletType!A$1:F$35,4)</f>
        <v>0</v>
      </c>
      <c r="K317">
        <f>VLOOKUP(O317,BulletType!A$1:F$35,5)</f>
        <v>4.8</v>
      </c>
      <c r="L317">
        <f>VLOOKUP(O317,BulletType!A$1:F$35,5)</f>
        <v>4.8</v>
      </c>
      <c r="M317">
        <f>VLOOKUP(O317,BulletType!A$1:F$35,6)</f>
        <v>2.4</v>
      </c>
      <c r="N317" s="3" t="str">
        <f>VLOOKUP(P317,BulletColor!A$2:B340,2)</f>
        <v>0.9,1,0.4</v>
      </c>
      <c r="O317">
        <v>9</v>
      </c>
      <c r="P317" s="2">
        <v>13</v>
      </c>
      <c r="Q317" s="2">
        <f t="shared" si="20"/>
        <v>1</v>
      </c>
    </row>
    <row r="318" spans="1:17" x14ac:dyDescent="0.2">
      <c r="A318" s="1">
        <f t="shared" si="18"/>
        <v>109140</v>
      </c>
      <c r="B318" s="3" t="str">
        <f>VLOOKUP(O318,BulletType!A$1:F$35,2)&amp;VLOOKUP(P318,BulletColor!A$1:C$25,3)</f>
        <v>铳弹 棕黄</v>
      </c>
      <c r="C318" s="3" t="str">
        <f t="shared" si="19"/>
        <v>Bullet109140</v>
      </c>
      <c r="D318" s="2">
        <f>VLOOKUP(O318,BulletType!A$2:N366,9)</f>
        <v>0</v>
      </c>
      <c r="E318" s="2">
        <f>VLOOKUP(O318,BulletType!A$2:N366,10)</f>
        <v>0</v>
      </c>
      <c r="F318" s="3" t="str">
        <f>CONCATENATE(VLOOKUP(O318,BulletType!A$2:I$35,8),VLOOKUP(P318,BulletColor!A$2:D$16,4))</f>
        <v>Bullet200130</v>
      </c>
      <c r="G318" s="3" t="str">
        <f>VLOOKUP(O318,BulletType!A$1:G$35,7)</f>
        <v>1.6,0.4</v>
      </c>
      <c r="H318" s="2">
        <f t="shared" si="17"/>
        <v>0</v>
      </c>
      <c r="I318">
        <f>VLOOKUP(O318,BulletType!A$1:F$35,3)</f>
        <v>1</v>
      </c>
      <c r="J318">
        <f>VLOOKUP(O318,BulletType!A$1:F$35,4)</f>
        <v>0</v>
      </c>
      <c r="K318">
        <f>VLOOKUP(O318,BulletType!A$1:F$35,5)</f>
        <v>4.8</v>
      </c>
      <c r="L318">
        <f>VLOOKUP(O318,BulletType!A$1:F$35,5)</f>
        <v>4.8</v>
      </c>
      <c r="M318">
        <f>VLOOKUP(O318,BulletType!A$1:F$35,6)</f>
        <v>2.4</v>
      </c>
      <c r="N318" s="3" t="str">
        <f>VLOOKUP(P318,BulletColor!A$2:B341,2)</f>
        <v>0.9,1,0.4</v>
      </c>
      <c r="O318">
        <v>9</v>
      </c>
      <c r="P318" s="2">
        <v>14</v>
      </c>
      <c r="Q318" s="2">
        <f t="shared" si="20"/>
        <v>0</v>
      </c>
    </row>
    <row r="319" spans="1:17" x14ac:dyDescent="0.2">
      <c r="A319" s="1">
        <f t="shared" si="18"/>
        <v>109141</v>
      </c>
      <c r="B319" s="3" t="str">
        <f>VLOOKUP(O319,BulletType!A$1:F$35,2)&amp;VLOOKUP(P319,BulletColor!A$1:C$25,3)</f>
        <v>铳弹 棕黄</v>
      </c>
      <c r="C319" s="3" t="str">
        <f t="shared" si="19"/>
        <v>Bullet109140</v>
      </c>
      <c r="D319" s="2">
        <f>VLOOKUP(O319,BulletType!A$2:N367,9)</f>
        <v>0</v>
      </c>
      <c r="E319" s="2">
        <f>VLOOKUP(O319,BulletType!A$2:N367,10)</f>
        <v>0</v>
      </c>
      <c r="F319" s="3" t="str">
        <f>CONCATENATE(VLOOKUP(O319,BulletType!A$2:I$35,8),VLOOKUP(P319,BulletColor!A$2:D$16,4))</f>
        <v>Bullet200130</v>
      </c>
      <c r="G319" s="3" t="str">
        <f>VLOOKUP(O319,BulletType!A$1:G$35,7)</f>
        <v>1.6,0.4</v>
      </c>
      <c r="H319" s="2">
        <f t="shared" si="17"/>
        <v>1</v>
      </c>
      <c r="I319">
        <f>VLOOKUP(O319,BulletType!A$1:F$35,3)</f>
        <v>1</v>
      </c>
      <c r="J319">
        <f>VLOOKUP(O319,BulletType!A$1:F$35,4)</f>
        <v>0</v>
      </c>
      <c r="K319">
        <f>VLOOKUP(O319,BulletType!A$1:F$35,5)</f>
        <v>4.8</v>
      </c>
      <c r="L319">
        <f>VLOOKUP(O319,BulletType!A$1:F$35,5)</f>
        <v>4.8</v>
      </c>
      <c r="M319">
        <f>VLOOKUP(O319,BulletType!A$1:F$35,6)</f>
        <v>2.4</v>
      </c>
      <c r="N319" s="3" t="str">
        <f>VLOOKUP(P319,BulletColor!A$2:B342,2)</f>
        <v>0.9,1,0.4</v>
      </c>
      <c r="O319">
        <v>9</v>
      </c>
      <c r="P319" s="2">
        <v>14</v>
      </c>
      <c r="Q319" s="2">
        <f t="shared" si="20"/>
        <v>1</v>
      </c>
    </row>
    <row r="320" spans="1:17" x14ac:dyDescent="0.2">
      <c r="A320" s="1">
        <f t="shared" si="18"/>
        <v>109150</v>
      </c>
      <c r="B320" s="3" t="str">
        <f>VLOOKUP(O320,BulletType!A$1:F$35,2)&amp;VLOOKUP(P320,BulletColor!A$1:C$25,3)</f>
        <v>铳弹 白</v>
      </c>
      <c r="C320" s="3" t="str">
        <f t="shared" si="19"/>
        <v>Bullet109150</v>
      </c>
      <c r="D320" s="2">
        <f>VLOOKUP(O320,BulletType!A$2:N368,9)</f>
        <v>0</v>
      </c>
      <c r="E320" s="2">
        <f>VLOOKUP(O320,BulletType!A$2:N368,10)</f>
        <v>0</v>
      </c>
      <c r="F320" s="3" t="str">
        <f>CONCATENATE(VLOOKUP(O320,BulletType!A$2:I$35,8),VLOOKUP(P320,BulletColor!A$2:D$16,4))</f>
        <v>Bullet200130</v>
      </c>
      <c r="G320" s="3" t="str">
        <f>VLOOKUP(O320,BulletType!A$1:G$35,7)</f>
        <v>1.6,0.4</v>
      </c>
      <c r="H320" s="2">
        <f t="shared" si="17"/>
        <v>0</v>
      </c>
      <c r="I320">
        <f>VLOOKUP(O320,BulletType!A$1:F$35,3)</f>
        <v>1</v>
      </c>
      <c r="J320">
        <f>VLOOKUP(O320,BulletType!A$1:F$35,4)</f>
        <v>0</v>
      </c>
      <c r="K320">
        <f>VLOOKUP(O320,BulletType!A$1:F$35,5)</f>
        <v>4.8</v>
      </c>
      <c r="L320">
        <f>VLOOKUP(O320,BulletType!A$1:F$35,5)</f>
        <v>4.8</v>
      </c>
      <c r="M320">
        <f>VLOOKUP(O320,BulletType!A$1:F$35,6)</f>
        <v>2.4</v>
      </c>
      <c r="N320" s="3" t="str">
        <f>VLOOKUP(P320,BulletColor!A$2:B343,2)</f>
        <v>0.8,0.8,0.8</v>
      </c>
      <c r="O320">
        <v>9</v>
      </c>
      <c r="P320" s="2">
        <v>15</v>
      </c>
      <c r="Q320" s="2">
        <f t="shared" si="20"/>
        <v>0</v>
      </c>
    </row>
    <row r="321" spans="1:17" x14ac:dyDescent="0.2">
      <c r="A321" s="1">
        <f t="shared" si="18"/>
        <v>109151</v>
      </c>
      <c r="B321" s="3" t="str">
        <f>VLOOKUP(O321,BulletType!A$1:F$35,2)&amp;VLOOKUP(P321,BulletColor!A$1:C$25,3)</f>
        <v>铳弹 白</v>
      </c>
      <c r="C321" s="3" t="str">
        <f t="shared" si="19"/>
        <v>Bullet109150</v>
      </c>
      <c r="D321" s="2">
        <f>VLOOKUP(O321,BulletType!A$2:N369,9)</f>
        <v>0</v>
      </c>
      <c r="E321" s="2">
        <f>VLOOKUP(O321,BulletType!A$2:N369,10)</f>
        <v>0</v>
      </c>
      <c r="F321" s="3" t="str">
        <f>CONCATENATE(VLOOKUP(O321,BulletType!A$2:I$35,8),VLOOKUP(P321,BulletColor!A$2:D$16,4))</f>
        <v>Bullet200130</v>
      </c>
      <c r="G321" s="3" t="str">
        <f>VLOOKUP(O321,BulletType!A$1:G$35,7)</f>
        <v>1.6,0.4</v>
      </c>
      <c r="H321" s="2">
        <f t="shared" si="17"/>
        <v>1</v>
      </c>
      <c r="I321">
        <f>VLOOKUP(O321,BulletType!A$1:F$35,3)</f>
        <v>1</v>
      </c>
      <c r="J321">
        <f>VLOOKUP(O321,BulletType!A$1:F$35,4)</f>
        <v>0</v>
      </c>
      <c r="K321">
        <f>VLOOKUP(O321,BulletType!A$1:F$35,5)</f>
        <v>4.8</v>
      </c>
      <c r="L321">
        <f>VLOOKUP(O321,BulletType!A$1:F$35,5)</f>
        <v>4.8</v>
      </c>
      <c r="M321">
        <f>VLOOKUP(O321,BulletType!A$1:F$35,6)</f>
        <v>2.4</v>
      </c>
      <c r="N321" s="3" t="str">
        <f>VLOOKUP(P321,BulletColor!A$2:B344,2)</f>
        <v>0.8,0.8,0.8</v>
      </c>
      <c r="O321">
        <v>9</v>
      </c>
      <c r="P321" s="2">
        <v>15</v>
      </c>
      <c r="Q321" s="2">
        <f t="shared" si="20"/>
        <v>1</v>
      </c>
    </row>
    <row r="322" spans="1:17" x14ac:dyDescent="0.2">
      <c r="A322" s="1">
        <f t="shared" si="18"/>
        <v>110000</v>
      </c>
      <c r="B322" s="3" t="str">
        <f>VLOOKUP(O322,BulletType!A$1:F$35,2)&amp;VLOOKUP(P322,BulletColor!A$1:C$25,3)</f>
        <v>杆菌弹 灰</v>
      </c>
      <c r="C322" s="3" t="str">
        <f t="shared" si="19"/>
        <v>Bullet110000</v>
      </c>
      <c r="D322" s="2">
        <f>VLOOKUP(O322,BulletType!A$2:N370,9)</f>
        <v>0</v>
      </c>
      <c r="E322" s="2">
        <f>VLOOKUP(O322,BulletType!A$2:N370,10)</f>
        <v>0</v>
      </c>
      <c r="F322" s="3" t="str">
        <f>CONCATENATE(VLOOKUP(O322,BulletType!A$2:I$35,8),VLOOKUP(P322,BulletColor!A$2:D$16,4))</f>
        <v>Bullet200000</v>
      </c>
      <c r="G322" s="3" t="str">
        <f>VLOOKUP(O322,BulletType!A$1:G$35,7)</f>
        <v>1.6,0.405</v>
      </c>
      <c r="H322" s="2">
        <f t="shared" ref="H322:H385" si="21">INT(Q322)</f>
        <v>0</v>
      </c>
      <c r="I322">
        <f>VLOOKUP(O322,BulletType!A$1:F$35,3)</f>
        <v>1</v>
      </c>
      <c r="J322">
        <f>VLOOKUP(O322,BulletType!A$1:F$35,4)</f>
        <v>0</v>
      </c>
      <c r="K322">
        <f>VLOOKUP(O322,BulletType!A$1:F$35,5)</f>
        <v>4.8</v>
      </c>
      <c r="L322">
        <f>VLOOKUP(O322,BulletType!A$1:F$35,5)</f>
        <v>4.8</v>
      </c>
      <c r="M322">
        <f>VLOOKUP(O322,BulletType!A$1:F$35,6)</f>
        <v>2.4</v>
      </c>
      <c r="N322" s="3" t="str">
        <f>VLOOKUP(P322,BulletColor!A$2:B345,2)</f>
        <v>0.5,0.5,0.5</v>
      </c>
      <c r="O322">
        <v>10</v>
      </c>
      <c r="P322" s="2">
        <v>0</v>
      </c>
      <c r="Q322" s="2">
        <f t="shared" si="20"/>
        <v>0</v>
      </c>
    </row>
    <row r="323" spans="1:17" x14ac:dyDescent="0.2">
      <c r="A323" s="1">
        <f t="shared" ref="A323:A386" si="22">VALUE(CONCATENATE(1,(REPT(0,2-LEN(O323))&amp;O323),REPT(0,2-LEN(P323))&amp;(P323),Q323))</f>
        <v>110001</v>
      </c>
      <c r="B323" s="3" t="str">
        <f>VLOOKUP(O323,BulletType!A$1:F$35,2)&amp;VLOOKUP(P323,BulletColor!A$1:C$25,3)</f>
        <v>杆菌弹 灰</v>
      </c>
      <c r="C323" s="3" t="str">
        <f t="shared" ref="C323:C386" si="23">CONCATENATE("Bullet",INT(A323/10)*10)</f>
        <v>Bullet110000</v>
      </c>
      <c r="D323" s="2">
        <f>VLOOKUP(O323,BulletType!A$2:N371,9)</f>
        <v>0</v>
      </c>
      <c r="E323" s="2">
        <f>VLOOKUP(O323,BulletType!A$2:N371,10)</f>
        <v>0</v>
      </c>
      <c r="F323" s="3" t="str">
        <f>CONCATENATE(VLOOKUP(O323,BulletType!A$2:I$35,8),VLOOKUP(P323,BulletColor!A$2:D$16,4))</f>
        <v>Bullet200000</v>
      </c>
      <c r="G323" s="3" t="str">
        <f>VLOOKUP(O323,BulletType!A$1:G$35,7)</f>
        <v>1.6,0.405</v>
      </c>
      <c r="H323" s="2">
        <f t="shared" si="21"/>
        <v>1</v>
      </c>
      <c r="I323">
        <f>VLOOKUP(O323,BulletType!A$1:F$35,3)</f>
        <v>1</v>
      </c>
      <c r="J323">
        <f>VLOOKUP(O323,BulletType!A$1:F$35,4)</f>
        <v>0</v>
      </c>
      <c r="K323">
        <f>VLOOKUP(O323,BulletType!A$1:F$35,5)</f>
        <v>4.8</v>
      </c>
      <c r="L323">
        <f>VLOOKUP(O323,BulletType!A$1:F$35,5)</f>
        <v>4.8</v>
      </c>
      <c r="M323">
        <f>VLOOKUP(O323,BulletType!A$1:F$35,6)</f>
        <v>2.4</v>
      </c>
      <c r="N323" s="3" t="str">
        <f>VLOOKUP(P323,BulletColor!A$2:B346,2)</f>
        <v>0.5,0.5,0.5</v>
      </c>
      <c r="O323">
        <v>10</v>
      </c>
      <c r="P323" s="2">
        <v>0</v>
      </c>
      <c r="Q323" s="2">
        <f t="shared" si="20"/>
        <v>1</v>
      </c>
    </row>
    <row r="324" spans="1:17" x14ac:dyDescent="0.2">
      <c r="A324" s="1">
        <f t="shared" si="22"/>
        <v>110010</v>
      </c>
      <c r="B324" s="3" t="str">
        <f>VLOOKUP(O324,BulletType!A$1:F$35,2)&amp;VLOOKUP(P324,BulletColor!A$1:C$25,3)</f>
        <v>杆菌弹 深红</v>
      </c>
      <c r="C324" s="3" t="str">
        <f t="shared" si="23"/>
        <v>Bullet110010</v>
      </c>
      <c r="D324" s="2">
        <f>VLOOKUP(O324,BulletType!A$2:N372,9)</f>
        <v>0</v>
      </c>
      <c r="E324" s="2">
        <f>VLOOKUP(O324,BulletType!A$2:N372,10)</f>
        <v>0</v>
      </c>
      <c r="F324" s="3" t="str">
        <f>CONCATENATE(VLOOKUP(O324,BulletType!A$2:I$35,8),VLOOKUP(P324,BulletColor!A$2:D$16,4))</f>
        <v>Bullet200010</v>
      </c>
      <c r="G324" s="3" t="str">
        <f>VLOOKUP(O324,BulletType!A$1:G$35,7)</f>
        <v>1.6,0.405</v>
      </c>
      <c r="H324" s="2">
        <f t="shared" si="21"/>
        <v>0</v>
      </c>
      <c r="I324">
        <f>VLOOKUP(O324,BulletType!A$1:F$35,3)</f>
        <v>1</v>
      </c>
      <c r="J324">
        <f>VLOOKUP(O324,BulletType!A$1:F$35,4)</f>
        <v>0</v>
      </c>
      <c r="K324">
        <f>VLOOKUP(O324,BulletType!A$1:F$35,5)</f>
        <v>4.8</v>
      </c>
      <c r="L324">
        <f>VLOOKUP(O324,BulletType!A$1:F$35,5)</f>
        <v>4.8</v>
      </c>
      <c r="M324">
        <f>VLOOKUP(O324,BulletType!A$1:F$35,6)</f>
        <v>2.4</v>
      </c>
      <c r="N324" s="3" t="str">
        <f>VLOOKUP(P324,BulletColor!A$2:B347,2)</f>
        <v>0.625,0.3,0.3</v>
      </c>
      <c r="O324">
        <v>10</v>
      </c>
      <c r="P324" s="2">
        <v>1</v>
      </c>
      <c r="Q324" s="2">
        <f t="shared" si="20"/>
        <v>0</v>
      </c>
    </row>
    <row r="325" spans="1:17" x14ac:dyDescent="0.2">
      <c r="A325" s="1">
        <f t="shared" si="22"/>
        <v>110011</v>
      </c>
      <c r="B325" s="3" t="str">
        <f>VLOOKUP(O325,BulletType!A$1:F$35,2)&amp;VLOOKUP(P325,BulletColor!A$1:C$25,3)</f>
        <v>杆菌弹 深红</v>
      </c>
      <c r="C325" s="3" t="str">
        <f t="shared" si="23"/>
        <v>Bullet110010</v>
      </c>
      <c r="D325" s="2">
        <f>VLOOKUP(O325,BulletType!A$2:N373,9)</f>
        <v>0</v>
      </c>
      <c r="E325" s="2">
        <f>VLOOKUP(O325,BulletType!A$2:N373,10)</f>
        <v>0</v>
      </c>
      <c r="F325" s="3" t="str">
        <f>CONCATENATE(VLOOKUP(O325,BulletType!A$2:I$35,8),VLOOKUP(P325,BulletColor!A$2:D$16,4))</f>
        <v>Bullet200010</v>
      </c>
      <c r="G325" s="3" t="str">
        <f>VLOOKUP(O325,BulletType!A$1:G$35,7)</f>
        <v>1.6,0.405</v>
      </c>
      <c r="H325" s="2">
        <f t="shared" si="21"/>
        <v>1</v>
      </c>
      <c r="I325">
        <f>VLOOKUP(O325,BulletType!A$1:F$35,3)</f>
        <v>1</v>
      </c>
      <c r="J325">
        <f>VLOOKUP(O325,BulletType!A$1:F$35,4)</f>
        <v>0</v>
      </c>
      <c r="K325">
        <f>VLOOKUP(O325,BulletType!A$1:F$35,5)</f>
        <v>4.8</v>
      </c>
      <c r="L325">
        <f>VLOOKUP(O325,BulletType!A$1:F$35,5)</f>
        <v>4.8</v>
      </c>
      <c r="M325">
        <f>VLOOKUP(O325,BulletType!A$1:F$35,6)</f>
        <v>2.4</v>
      </c>
      <c r="N325" s="3" t="str">
        <f>VLOOKUP(P325,BulletColor!A$2:B348,2)</f>
        <v>0.625,0.3,0.3</v>
      </c>
      <c r="O325">
        <v>10</v>
      </c>
      <c r="P325" s="2">
        <v>1</v>
      </c>
      <c r="Q325" s="2">
        <f t="shared" si="20"/>
        <v>1</v>
      </c>
    </row>
    <row r="326" spans="1:17" x14ac:dyDescent="0.2">
      <c r="A326" s="1">
        <f t="shared" si="22"/>
        <v>110020</v>
      </c>
      <c r="B326" s="3" t="str">
        <f>VLOOKUP(O326,BulletType!A$1:F$35,2)&amp;VLOOKUP(P326,BulletColor!A$1:C$25,3)</f>
        <v>杆菌弹 红</v>
      </c>
      <c r="C326" s="3" t="str">
        <f t="shared" si="23"/>
        <v>Bullet110020</v>
      </c>
      <c r="D326" s="2">
        <f>VLOOKUP(O326,BulletType!A$2:N374,9)</f>
        <v>0</v>
      </c>
      <c r="E326" s="2">
        <f>VLOOKUP(O326,BulletType!A$2:N374,10)</f>
        <v>0</v>
      </c>
      <c r="F326" s="3" t="str">
        <f>CONCATENATE(VLOOKUP(O326,BulletType!A$2:I$35,8),VLOOKUP(P326,BulletColor!A$2:D$16,4))</f>
        <v>Bullet200010</v>
      </c>
      <c r="G326" s="3" t="str">
        <f>VLOOKUP(O326,BulletType!A$1:G$35,7)</f>
        <v>1.6,0.405</v>
      </c>
      <c r="H326" s="2">
        <f t="shared" si="21"/>
        <v>0</v>
      </c>
      <c r="I326">
        <f>VLOOKUP(O326,BulletType!A$1:F$35,3)</f>
        <v>1</v>
      </c>
      <c r="J326">
        <f>VLOOKUP(O326,BulletType!A$1:F$35,4)</f>
        <v>0</v>
      </c>
      <c r="K326">
        <f>VLOOKUP(O326,BulletType!A$1:F$35,5)</f>
        <v>4.8</v>
      </c>
      <c r="L326">
        <f>VLOOKUP(O326,BulletType!A$1:F$35,5)</f>
        <v>4.8</v>
      </c>
      <c r="M326">
        <f>VLOOKUP(O326,BulletType!A$1:F$35,6)</f>
        <v>2.4</v>
      </c>
      <c r="N326" s="3" t="str">
        <f>VLOOKUP(P326,BulletColor!A$2:B349,2)</f>
        <v>0.8,0.3,0.3</v>
      </c>
      <c r="O326">
        <v>10</v>
      </c>
      <c r="P326" s="2">
        <v>2</v>
      </c>
      <c r="Q326" s="2">
        <f t="shared" si="20"/>
        <v>0</v>
      </c>
    </row>
    <row r="327" spans="1:17" x14ac:dyDescent="0.2">
      <c r="A327" s="1">
        <f t="shared" si="22"/>
        <v>110021</v>
      </c>
      <c r="B327" s="3" t="str">
        <f>VLOOKUP(O327,BulletType!A$1:F$35,2)&amp;VLOOKUP(P327,BulletColor!A$1:C$25,3)</f>
        <v>杆菌弹 红</v>
      </c>
      <c r="C327" s="3" t="str">
        <f t="shared" si="23"/>
        <v>Bullet110020</v>
      </c>
      <c r="D327" s="2">
        <f>VLOOKUP(O327,BulletType!A$2:N375,9)</f>
        <v>0</v>
      </c>
      <c r="E327" s="2">
        <f>VLOOKUP(O327,BulletType!A$2:N375,10)</f>
        <v>0</v>
      </c>
      <c r="F327" s="3" t="str">
        <f>CONCATENATE(VLOOKUP(O327,BulletType!A$2:I$35,8),VLOOKUP(P327,BulletColor!A$2:D$16,4))</f>
        <v>Bullet200010</v>
      </c>
      <c r="G327" s="3" t="str">
        <f>VLOOKUP(O327,BulletType!A$1:G$35,7)</f>
        <v>1.6,0.405</v>
      </c>
      <c r="H327" s="2">
        <f t="shared" si="21"/>
        <v>1</v>
      </c>
      <c r="I327">
        <f>VLOOKUP(O327,BulletType!A$1:F$35,3)</f>
        <v>1</v>
      </c>
      <c r="J327">
        <f>VLOOKUP(O327,BulletType!A$1:F$35,4)</f>
        <v>0</v>
      </c>
      <c r="K327">
        <f>VLOOKUP(O327,BulletType!A$1:F$35,5)</f>
        <v>4.8</v>
      </c>
      <c r="L327">
        <f>VLOOKUP(O327,BulletType!A$1:F$35,5)</f>
        <v>4.8</v>
      </c>
      <c r="M327">
        <f>VLOOKUP(O327,BulletType!A$1:F$35,6)</f>
        <v>2.4</v>
      </c>
      <c r="N327" s="3" t="str">
        <f>VLOOKUP(P327,BulletColor!A$2:B350,2)</f>
        <v>0.8,0.3,0.3</v>
      </c>
      <c r="O327">
        <v>10</v>
      </c>
      <c r="P327" s="2">
        <v>2</v>
      </c>
      <c r="Q327" s="2">
        <f t="shared" si="20"/>
        <v>1</v>
      </c>
    </row>
    <row r="328" spans="1:17" x14ac:dyDescent="0.2">
      <c r="A328" s="1">
        <f t="shared" si="22"/>
        <v>110030</v>
      </c>
      <c r="B328" s="3" t="str">
        <f>VLOOKUP(O328,BulletType!A$1:F$35,2)&amp;VLOOKUP(P328,BulletColor!A$1:C$25,3)</f>
        <v>杆菌弹 深紫</v>
      </c>
      <c r="C328" s="3" t="str">
        <f t="shared" si="23"/>
        <v>Bullet110030</v>
      </c>
      <c r="D328" s="2">
        <f>VLOOKUP(O328,BulletType!A$2:N376,9)</f>
        <v>0</v>
      </c>
      <c r="E328" s="2">
        <f>VLOOKUP(O328,BulletType!A$2:N376,10)</f>
        <v>0</v>
      </c>
      <c r="F328" s="3" t="str">
        <f>CONCATENATE(VLOOKUP(O328,BulletType!A$2:I$35,8),VLOOKUP(P328,BulletColor!A$2:D$16,4))</f>
        <v>Bullet200030</v>
      </c>
      <c r="G328" s="3" t="str">
        <f>VLOOKUP(O328,BulletType!A$1:G$35,7)</f>
        <v>1.6,0.405</v>
      </c>
      <c r="H328" s="2">
        <f t="shared" si="21"/>
        <v>0</v>
      </c>
      <c r="I328">
        <f>VLOOKUP(O328,BulletType!A$1:F$35,3)</f>
        <v>1</v>
      </c>
      <c r="J328">
        <f>VLOOKUP(O328,BulletType!A$1:F$35,4)</f>
        <v>0</v>
      </c>
      <c r="K328">
        <f>VLOOKUP(O328,BulletType!A$1:F$35,5)</f>
        <v>4.8</v>
      </c>
      <c r="L328">
        <f>VLOOKUP(O328,BulletType!A$1:F$35,5)</f>
        <v>4.8</v>
      </c>
      <c r="M328">
        <f>VLOOKUP(O328,BulletType!A$1:F$35,6)</f>
        <v>2.4</v>
      </c>
      <c r="N328" s="3" t="str">
        <f>VLOOKUP(P328,BulletColor!A$2:B351,2)</f>
        <v>1,0.65,1</v>
      </c>
      <c r="O328">
        <v>10</v>
      </c>
      <c r="P328" s="2">
        <v>3</v>
      </c>
      <c r="Q328" s="2">
        <f t="shared" si="20"/>
        <v>0</v>
      </c>
    </row>
    <row r="329" spans="1:17" x14ac:dyDescent="0.2">
      <c r="A329" s="1">
        <f t="shared" si="22"/>
        <v>110031</v>
      </c>
      <c r="B329" s="3" t="str">
        <f>VLOOKUP(O329,BulletType!A$1:F$35,2)&amp;VLOOKUP(P329,BulletColor!A$1:C$25,3)</f>
        <v>杆菌弹 深紫</v>
      </c>
      <c r="C329" s="3" t="str">
        <f t="shared" si="23"/>
        <v>Bullet110030</v>
      </c>
      <c r="D329" s="2">
        <f>VLOOKUP(O329,BulletType!A$2:N377,9)</f>
        <v>0</v>
      </c>
      <c r="E329" s="2">
        <f>VLOOKUP(O329,BulletType!A$2:N377,10)</f>
        <v>0</v>
      </c>
      <c r="F329" s="3" t="str">
        <f>CONCATENATE(VLOOKUP(O329,BulletType!A$2:I$35,8),VLOOKUP(P329,BulletColor!A$2:D$16,4))</f>
        <v>Bullet200030</v>
      </c>
      <c r="G329" s="3" t="str">
        <f>VLOOKUP(O329,BulletType!A$1:G$35,7)</f>
        <v>1.6,0.405</v>
      </c>
      <c r="H329" s="2">
        <f t="shared" si="21"/>
        <v>1</v>
      </c>
      <c r="I329">
        <f>VLOOKUP(O329,BulletType!A$1:F$35,3)</f>
        <v>1</v>
      </c>
      <c r="J329">
        <f>VLOOKUP(O329,BulletType!A$1:F$35,4)</f>
        <v>0</v>
      </c>
      <c r="K329">
        <f>VLOOKUP(O329,BulletType!A$1:F$35,5)</f>
        <v>4.8</v>
      </c>
      <c r="L329">
        <f>VLOOKUP(O329,BulletType!A$1:F$35,5)</f>
        <v>4.8</v>
      </c>
      <c r="M329">
        <f>VLOOKUP(O329,BulletType!A$1:F$35,6)</f>
        <v>2.4</v>
      </c>
      <c r="N329" s="3" t="str">
        <f>VLOOKUP(P329,BulletColor!A$2:B352,2)</f>
        <v>1,0.65,1</v>
      </c>
      <c r="O329">
        <v>10</v>
      </c>
      <c r="P329" s="2">
        <v>3</v>
      </c>
      <c r="Q329" s="2">
        <f t="shared" ref="Q329:Q362" si="24">MOD((ROW()-2),2)</f>
        <v>1</v>
      </c>
    </row>
    <row r="330" spans="1:17" x14ac:dyDescent="0.2">
      <c r="A330" s="1">
        <f t="shared" si="22"/>
        <v>110040</v>
      </c>
      <c r="B330" s="3" t="str">
        <f>VLOOKUP(O330,BulletType!A$1:F$35,2)&amp;VLOOKUP(P330,BulletColor!A$1:C$25,3)</f>
        <v>杆菌弹 紫</v>
      </c>
      <c r="C330" s="3" t="str">
        <f t="shared" si="23"/>
        <v>Bullet110040</v>
      </c>
      <c r="D330" s="2">
        <f>VLOOKUP(O330,BulletType!A$2:N378,9)</f>
        <v>0</v>
      </c>
      <c r="E330" s="2">
        <f>VLOOKUP(O330,BulletType!A$2:N378,10)</f>
        <v>0</v>
      </c>
      <c r="F330" s="3" t="str">
        <f>CONCATENATE(VLOOKUP(O330,BulletType!A$2:I$35,8),VLOOKUP(P330,BulletColor!A$2:D$16,4))</f>
        <v>Bullet200030</v>
      </c>
      <c r="G330" s="3" t="str">
        <f>VLOOKUP(O330,BulletType!A$1:G$35,7)</f>
        <v>1.6,0.405</v>
      </c>
      <c r="H330" s="2">
        <f t="shared" si="21"/>
        <v>0</v>
      </c>
      <c r="I330">
        <f>VLOOKUP(O330,BulletType!A$1:F$35,3)</f>
        <v>1</v>
      </c>
      <c r="J330">
        <f>VLOOKUP(O330,BulletType!A$1:F$35,4)</f>
        <v>0</v>
      </c>
      <c r="K330">
        <f>VLOOKUP(O330,BulletType!A$1:F$35,5)</f>
        <v>4.8</v>
      </c>
      <c r="L330">
        <f>VLOOKUP(O330,BulletType!A$1:F$35,5)</f>
        <v>4.8</v>
      </c>
      <c r="M330">
        <f>VLOOKUP(O330,BulletType!A$1:F$35,6)</f>
        <v>2.4</v>
      </c>
      <c r="N330" s="3" t="str">
        <f>VLOOKUP(P330,BulletColor!A$2:B353,2)</f>
        <v>1,0.65,1</v>
      </c>
      <c r="O330">
        <v>10</v>
      </c>
      <c r="P330" s="2">
        <v>4</v>
      </c>
      <c r="Q330" s="2">
        <f t="shared" si="24"/>
        <v>0</v>
      </c>
    </row>
    <row r="331" spans="1:17" x14ac:dyDescent="0.2">
      <c r="A331" s="1">
        <f t="shared" si="22"/>
        <v>110041</v>
      </c>
      <c r="B331" s="3" t="str">
        <f>VLOOKUP(O331,BulletType!A$1:F$35,2)&amp;VLOOKUP(P331,BulletColor!A$1:C$25,3)</f>
        <v>杆菌弹 紫</v>
      </c>
      <c r="C331" s="3" t="str">
        <f t="shared" si="23"/>
        <v>Bullet110040</v>
      </c>
      <c r="D331" s="2">
        <f>VLOOKUP(O331,BulletType!A$2:N379,9)</f>
        <v>0</v>
      </c>
      <c r="E331" s="2">
        <f>VLOOKUP(O331,BulletType!A$2:N379,10)</f>
        <v>0</v>
      </c>
      <c r="F331" s="3" t="str">
        <f>CONCATENATE(VLOOKUP(O331,BulletType!A$2:I$35,8),VLOOKUP(P331,BulletColor!A$2:D$16,4))</f>
        <v>Bullet200030</v>
      </c>
      <c r="G331" s="3" t="str">
        <f>VLOOKUP(O331,BulletType!A$1:G$35,7)</f>
        <v>1.6,0.405</v>
      </c>
      <c r="H331" s="2">
        <f t="shared" si="21"/>
        <v>1</v>
      </c>
      <c r="I331">
        <f>VLOOKUP(O331,BulletType!A$1:F$35,3)</f>
        <v>1</v>
      </c>
      <c r="J331">
        <f>VLOOKUP(O331,BulletType!A$1:F$35,4)</f>
        <v>0</v>
      </c>
      <c r="K331">
        <f>VLOOKUP(O331,BulletType!A$1:F$35,5)</f>
        <v>4.8</v>
      </c>
      <c r="L331">
        <f>VLOOKUP(O331,BulletType!A$1:F$35,5)</f>
        <v>4.8</v>
      </c>
      <c r="M331">
        <f>VLOOKUP(O331,BulletType!A$1:F$35,6)</f>
        <v>2.4</v>
      </c>
      <c r="N331" s="3" t="str">
        <f>VLOOKUP(P331,BulletColor!A$2:B354,2)</f>
        <v>1,0.65,1</v>
      </c>
      <c r="O331">
        <v>10</v>
      </c>
      <c r="P331" s="2">
        <v>4</v>
      </c>
      <c r="Q331" s="2">
        <f t="shared" si="24"/>
        <v>1</v>
      </c>
    </row>
    <row r="332" spans="1:17" x14ac:dyDescent="0.2">
      <c r="A332" s="1">
        <f t="shared" si="22"/>
        <v>110050</v>
      </c>
      <c r="B332" s="3" t="str">
        <f>VLOOKUP(O332,BulletType!A$1:F$35,2)&amp;VLOOKUP(P332,BulletColor!A$1:C$25,3)</f>
        <v>杆菌弹 深蓝</v>
      </c>
      <c r="C332" s="3" t="str">
        <f t="shared" si="23"/>
        <v>Bullet110050</v>
      </c>
      <c r="D332" s="2">
        <f>VLOOKUP(O332,BulletType!A$2:N380,9)</f>
        <v>0</v>
      </c>
      <c r="E332" s="2">
        <f>VLOOKUP(O332,BulletType!A$2:N380,10)</f>
        <v>0</v>
      </c>
      <c r="F332" s="3" t="str">
        <f>CONCATENATE(VLOOKUP(O332,BulletType!A$2:I$35,8),VLOOKUP(P332,BulletColor!A$2:D$16,4))</f>
        <v>Bullet200050</v>
      </c>
      <c r="G332" s="3" t="str">
        <f>VLOOKUP(O332,BulletType!A$1:G$35,7)</f>
        <v>1.6,0.405</v>
      </c>
      <c r="H332" s="2">
        <f t="shared" si="21"/>
        <v>0</v>
      </c>
      <c r="I332">
        <f>VLOOKUP(O332,BulletType!A$1:F$35,3)</f>
        <v>1</v>
      </c>
      <c r="J332">
        <f>VLOOKUP(O332,BulletType!A$1:F$35,4)</f>
        <v>0</v>
      </c>
      <c r="K332">
        <f>VLOOKUP(O332,BulletType!A$1:F$35,5)</f>
        <v>4.8</v>
      </c>
      <c r="L332">
        <f>VLOOKUP(O332,BulletType!A$1:F$35,5)</f>
        <v>4.8</v>
      </c>
      <c r="M332">
        <f>VLOOKUP(O332,BulletType!A$1:F$35,6)</f>
        <v>2.4</v>
      </c>
      <c r="N332" s="3" t="str">
        <f>VLOOKUP(P332,BulletColor!A$2:B355,2)</f>
        <v>0,0.1,1</v>
      </c>
      <c r="O332">
        <v>10</v>
      </c>
      <c r="P332" s="2">
        <v>5</v>
      </c>
      <c r="Q332" s="2">
        <f t="shared" si="24"/>
        <v>0</v>
      </c>
    </row>
    <row r="333" spans="1:17" x14ac:dyDescent="0.2">
      <c r="A333" s="1">
        <f t="shared" si="22"/>
        <v>110051</v>
      </c>
      <c r="B333" s="3" t="str">
        <f>VLOOKUP(O333,BulletType!A$1:F$35,2)&amp;VLOOKUP(P333,BulletColor!A$1:C$25,3)</f>
        <v>杆菌弹 深蓝</v>
      </c>
      <c r="C333" s="3" t="str">
        <f t="shared" si="23"/>
        <v>Bullet110050</v>
      </c>
      <c r="D333" s="2">
        <f>VLOOKUP(O333,BulletType!A$2:N381,9)</f>
        <v>0</v>
      </c>
      <c r="E333" s="2">
        <f>VLOOKUP(O333,BulletType!A$2:N381,10)</f>
        <v>0</v>
      </c>
      <c r="F333" s="3" t="str">
        <f>CONCATENATE(VLOOKUP(O333,BulletType!A$2:I$35,8),VLOOKUP(P333,BulletColor!A$2:D$16,4))</f>
        <v>Bullet200050</v>
      </c>
      <c r="G333" s="3" t="str">
        <f>VLOOKUP(O333,BulletType!A$1:G$35,7)</f>
        <v>1.6,0.405</v>
      </c>
      <c r="H333" s="2">
        <f t="shared" si="21"/>
        <v>1</v>
      </c>
      <c r="I333">
        <f>VLOOKUP(O333,BulletType!A$1:F$35,3)</f>
        <v>1</v>
      </c>
      <c r="J333">
        <f>VLOOKUP(O333,BulletType!A$1:F$35,4)</f>
        <v>0</v>
      </c>
      <c r="K333">
        <f>VLOOKUP(O333,BulletType!A$1:F$35,5)</f>
        <v>4.8</v>
      </c>
      <c r="L333">
        <f>VLOOKUP(O333,BulletType!A$1:F$35,5)</f>
        <v>4.8</v>
      </c>
      <c r="M333">
        <f>VLOOKUP(O333,BulletType!A$1:F$35,6)</f>
        <v>2.4</v>
      </c>
      <c r="N333" s="3" t="str">
        <f>VLOOKUP(P333,BulletColor!A$2:B356,2)</f>
        <v>0,0.1,1</v>
      </c>
      <c r="O333">
        <v>10</v>
      </c>
      <c r="P333" s="2">
        <v>5</v>
      </c>
      <c r="Q333" s="2">
        <f t="shared" si="24"/>
        <v>1</v>
      </c>
    </row>
    <row r="334" spans="1:17" x14ac:dyDescent="0.2">
      <c r="A334" s="1">
        <f t="shared" si="22"/>
        <v>110060</v>
      </c>
      <c r="B334" s="3" t="str">
        <f>VLOOKUP(O334,BulletType!A$1:F$35,2)&amp;VLOOKUP(P334,BulletColor!A$1:C$25,3)</f>
        <v>杆菌弹 蓝</v>
      </c>
      <c r="C334" s="3" t="str">
        <f t="shared" si="23"/>
        <v>Bullet110060</v>
      </c>
      <c r="D334" s="2">
        <f>VLOOKUP(O334,BulletType!A$2:N382,9)</f>
        <v>0</v>
      </c>
      <c r="E334" s="2">
        <f>VLOOKUP(O334,BulletType!A$2:N382,10)</f>
        <v>0</v>
      </c>
      <c r="F334" s="3" t="str">
        <f>CONCATENATE(VLOOKUP(O334,BulletType!A$2:I$35,8),VLOOKUP(P334,BulletColor!A$2:D$16,4))</f>
        <v>Bullet200050</v>
      </c>
      <c r="G334" s="3" t="str">
        <f>VLOOKUP(O334,BulletType!A$1:G$35,7)</f>
        <v>1.6,0.405</v>
      </c>
      <c r="H334" s="2">
        <f t="shared" si="21"/>
        <v>0</v>
      </c>
      <c r="I334">
        <f>VLOOKUP(O334,BulletType!A$1:F$35,3)</f>
        <v>1</v>
      </c>
      <c r="J334">
        <f>VLOOKUP(O334,BulletType!A$1:F$35,4)</f>
        <v>0</v>
      </c>
      <c r="K334">
        <f>VLOOKUP(O334,BulletType!A$1:F$35,5)</f>
        <v>4.8</v>
      </c>
      <c r="L334">
        <f>VLOOKUP(O334,BulletType!A$1:F$35,5)</f>
        <v>4.8</v>
      </c>
      <c r="M334">
        <f>VLOOKUP(O334,BulletType!A$1:F$35,6)</f>
        <v>2.4</v>
      </c>
      <c r="N334" s="3" t="str">
        <f>VLOOKUP(P334,BulletColor!A$2:B357,2)</f>
        <v>0,0.1,1</v>
      </c>
      <c r="O334">
        <v>10</v>
      </c>
      <c r="P334" s="2">
        <v>6</v>
      </c>
      <c r="Q334" s="2">
        <f t="shared" si="24"/>
        <v>0</v>
      </c>
    </row>
    <row r="335" spans="1:17" x14ac:dyDescent="0.2">
      <c r="A335" s="1">
        <f t="shared" si="22"/>
        <v>110061</v>
      </c>
      <c r="B335" s="3" t="str">
        <f>VLOOKUP(O335,BulletType!A$1:F$35,2)&amp;VLOOKUP(P335,BulletColor!A$1:C$25,3)</f>
        <v>杆菌弹 蓝</v>
      </c>
      <c r="C335" s="3" t="str">
        <f t="shared" si="23"/>
        <v>Bullet110060</v>
      </c>
      <c r="D335" s="2">
        <f>VLOOKUP(O335,BulletType!A$2:N383,9)</f>
        <v>0</v>
      </c>
      <c r="E335" s="2">
        <f>VLOOKUP(O335,BulletType!A$2:N383,10)</f>
        <v>0</v>
      </c>
      <c r="F335" s="3" t="str">
        <f>CONCATENATE(VLOOKUP(O335,BulletType!A$2:I$35,8),VLOOKUP(P335,BulletColor!A$2:D$16,4))</f>
        <v>Bullet200050</v>
      </c>
      <c r="G335" s="3" t="str">
        <f>VLOOKUP(O335,BulletType!A$1:G$35,7)</f>
        <v>1.6,0.405</v>
      </c>
      <c r="H335" s="2">
        <f t="shared" si="21"/>
        <v>1</v>
      </c>
      <c r="I335">
        <f>VLOOKUP(O335,BulletType!A$1:F$35,3)</f>
        <v>1</v>
      </c>
      <c r="J335">
        <f>VLOOKUP(O335,BulletType!A$1:F$35,4)</f>
        <v>0</v>
      </c>
      <c r="K335">
        <f>VLOOKUP(O335,BulletType!A$1:F$35,5)</f>
        <v>4.8</v>
      </c>
      <c r="L335">
        <f>VLOOKUP(O335,BulletType!A$1:F$35,5)</f>
        <v>4.8</v>
      </c>
      <c r="M335">
        <f>VLOOKUP(O335,BulletType!A$1:F$35,6)</f>
        <v>2.4</v>
      </c>
      <c r="N335" s="3" t="str">
        <f>VLOOKUP(P335,BulletColor!A$2:B358,2)</f>
        <v>0,0.1,1</v>
      </c>
      <c r="O335">
        <v>10</v>
      </c>
      <c r="P335" s="2">
        <v>6</v>
      </c>
      <c r="Q335" s="2">
        <f t="shared" si="24"/>
        <v>1</v>
      </c>
    </row>
    <row r="336" spans="1:17" x14ac:dyDescent="0.2">
      <c r="A336" s="1">
        <f t="shared" si="22"/>
        <v>110070</v>
      </c>
      <c r="B336" s="3" t="str">
        <f>VLOOKUP(O336,BulletType!A$1:F$35,2)&amp;VLOOKUP(P336,BulletColor!A$1:C$25,3)</f>
        <v>杆菌弹 深青</v>
      </c>
      <c r="C336" s="3" t="str">
        <f t="shared" si="23"/>
        <v>Bullet110070</v>
      </c>
      <c r="D336" s="2">
        <f>VLOOKUP(O336,BulletType!A$2:N384,9)</f>
        <v>0</v>
      </c>
      <c r="E336" s="2">
        <f>VLOOKUP(O336,BulletType!A$2:N384,10)</f>
        <v>0</v>
      </c>
      <c r="F336" s="3" t="str">
        <f>CONCATENATE(VLOOKUP(O336,BulletType!A$2:I$35,8),VLOOKUP(P336,BulletColor!A$2:D$16,4))</f>
        <v>Bullet200070</v>
      </c>
      <c r="G336" s="3" t="str">
        <f>VLOOKUP(O336,BulletType!A$1:G$35,7)</f>
        <v>1.6,0.405</v>
      </c>
      <c r="H336" s="2">
        <f t="shared" si="21"/>
        <v>0</v>
      </c>
      <c r="I336">
        <f>VLOOKUP(O336,BulletType!A$1:F$35,3)</f>
        <v>1</v>
      </c>
      <c r="J336">
        <f>VLOOKUP(O336,BulletType!A$1:F$35,4)</f>
        <v>0</v>
      </c>
      <c r="K336">
        <f>VLOOKUP(O336,BulletType!A$1:F$35,5)</f>
        <v>4.8</v>
      </c>
      <c r="L336">
        <f>VLOOKUP(O336,BulletType!A$1:F$35,5)</f>
        <v>4.8</v>
      </c>
      <c r="M336">
        <f>VLOOKUP(O336,BulletType!A$1:F$35,6)</f>
        <v>2.4</v>
      </c>
      <c r="N336" s="3" t="str">
        <f>VLOOKUP(P336,BulletColor!A$2:B359,2)</f>
        <v>0.25,1,1</v>
      </c>
      <c r="O336">
        <v>10</v>
      </c>
      <c r="P336" s="2">
        <v>7</v>
      </c>
      <c r="Q336" s="2">
        <f t="shared" si="24"/>
        <v>0</v>
      </c>
    </row>
    <row r="337" spans="1:17" x14ac:dyDescent="0.2">
      <c r="A337" s="1">
        <f t="shared" si="22"/>
        <v>110071</v>
      </c>
      <c r="B337" s="3" t="str">
        <f>VLOOKUP(O337,BulletType!A$1:F$35,2)&amp;VLOOKUP(P337,BulletColor!A$1:C$25,3)</f>
        <v>杆菌弹 深青</v>
      </c>
      <c r="C337" s="3" t="str">
        <f t="shared" si="23"/>
        <v>Bullet110070</v>
      </c>
      <c r="D337" s="2">
        <f>VLOOKUP(O337,BulletType!A$2:N385,9)</f>
        <v>0</v>
      </c>
      <c r="E337" s="2">
        <f>VLOOKUP(O337,BulletType!A$2:N385,10)</f>
        <v>0</v>
      </c>
      <c r="F337" s="3" t="str">
        <f>CONCATENATE(VLOOKUP(O337,BulletType!A$2:I$35,8),VLOOKUP(P337,BulletColor!A$2:D$16,4))</f>
        <v>Bullet200070</v>
      </c>
      <c r="G337" s="3" t="str">
        <f>VLOOKUP(O337,BulletType!A$1:G$35,7)</f>
        <v>1.6,0.405</v>
      </c>
      <c r="H337" s="2">
        <f t="shared" si="21"/>
        <v>1</v>
      </c>
      <c r="I337">
        <f>VLOOKUP(O337,BulletType!A$1:F$35,3)</f>
        <v>1</v>
      </c>
      <c r="J337">
        <f>VLOOKUP(O337,BulletType!A$1:F$35,4)</f>
        <v>0</v>
      </c>
      <c r="K337">
        <f>VLOOKUP(O337,BulletType!A$1:F$35,5)</f>
        <v>4.8</v>
      </c>
      <c r="L337">
        <f>VLOOKUP(O337,BulletType!A$1:F$35,5)</f>
        <v>4.8</v>
      </c>
      <c r="M337">
        <f>VLOOKUP(O337,BulletType!A$1:F$35,6)</f>
        <v>2.4</v>
      </c>
      <c r="N337" s="3" t="str">
        <f>VLOOKUP(P337,BulletColor!A$2:B360,2)</f>
        <v>0.25,1,1</v>
      </c>
      <c r="O337">
        <v>10</v>
      </c>
      <c r="P337" s="2">
        <v>7</v>
      </c>
      <c r="Q337" s="2">
        <f t="shared" si="24"/>
        <v>1</v>
      </c>
    </row>
    <row r="338" spans="1:17" x14ac:dyDescent="0.2">
      <c r="A338" s="1">
        <f t="shared" si="22"/>
        <v>110080</v>
      </c>
      <c r="B338" s="3" t="str">
        <f>VLOOKUP(O338,BulletType!A$1:F$35,2)&amp;VLOOKUP(P338,BulletColor!A$1:C$25,3)</f>
        <v>杆菌弹 青</v>
      </c>
      <c r="C338" s="3" t="str">
        <f t="shared" si="23"/>
        <v>Bullet110080</v>
      </c>
      <c r="D338" s="2">
        <f>VLOOKUP(O338,BulletType!A$2:N386,9)</f>
        <v>0</v>
      </c>
      <c r="E338" s="2">
        <f>VLOOKUP(O338,BulletType!A$2:N386,10)</f>
        <v>0</v>
      </c>
      <c r="F338" s="3" t="str">
        <f>CONCATENATE(VLOOKUP(O338,BulletType!A$2:I$35,8),VLOOKUP(P338,BulletColor!A$2:D$16,4))</f>
        <v>Bullet200070</v>
      </c>
      <c r="G338" s="3" t="str">
        <f>VLOOKUP(O338,BulletType!A$1:G$35,7)</f>
        <v>1.6,0.405</v>
      </c>
      <c r="H338" s="2">
        <f t="shared" si="21"/>
        <v>0</v>
      </c>
      <c r="I338">
        <f>VLOOKUP(O338,BulletType!A$1:F$35,3)</f>
        <v>1</v>
      </c>
      <c r="J338">
        <f>VLOOKUP(O338,BulletType!A$1:F$35,4)</f>
        <v>0</v>
      </c>
      <c r="K338">
        <f>VLOOKUP(O338,BulletType!A$1:F$35,5)</f>
        <v>4.8</v>
      </c>
      <c r="L338">
        <f>VLOOKUP(O338,BulletType!A$1:F$35,5)</f>
        <v>4.8</v>
      </c>
      <c r="M338">
        <f>VLOOKUP(O338,BulletType!A$1:F$35,6)</f>
        <v>2.4</v>
      </c>
      <c r="N338" s="3" t="str">
        <f>VLOOKUP(P338,BulletColor!A$2:B361,2)</f>
        <v>0.25,1,1</v>
      </c>
      <c r="O338">
        <v>10</v>
      </c>
      <c r="P338" s="2">
        <v>8</v>
      </c>
      <c r="Q338" s="2">
        <f t="shared" si="24"/>
        <v>0</v>
      </c>
    </row>
    <row r="339" spans="1:17" x14ac:dyDescent="0.2">
      <c r="A339" s="1">
        <f t="shared" si="22"/>
        <v>110081</v>
      </c>
      <c r="B339" s="3" t="str">
        <f>VLOOKUP(O339,BulletType!A$1:F$35,2)&amp;VLOOKUP(P339,BulletColor!A$1:C$25,3)</f>
        <v>杆菌弹 青</v>
      </c>
      <c r="C339" s="3" t="str">
        <f t="shared" si="23"/>
        <v>Bullet110080</v>
      </c>
      <c r="D339" s="2">
        <f>VLOOKUP(O339,BulletType!A$2:N387,9)</f>
        <v>0</v>
      </c>
      <c r="E339" s="2">
        <f>VLOOKUP(O339,BulletType!A$2:N387,10)</f>
        <v>0</v>
      </c>
      <c r="F339" s="3" t="str">
        <f>CONCATENATE(VLOOKUP(O339,BulletType!A$2:I$35,8),VLOOKUP(P339,BulletColor!A$2:D$16,4))</f>
        <v>Bullet200070</v>
      </c>
      <c r="G339" s="3" t="str">
        <f>VLOOKUP(O339,BulletType!A$1:G$35,7)</f>
        <v>1.6,0.405</v>
      </c>
      <c r="H339" s="2">
        <f t="shared" si="21"/>
        <v>1</v>
      </c>
      <c r="I339">
        <f>VLOOKUP(O339,BulletType!A$1:F$35,3)</f>
        <v>1</v>
      </c>
      <c r="J339">
        <f>VLOOKUP(O339,BulletType!A$1:F$35,4)</f>
        <v>0</v>
      </c>
      <c r="K339">
        <f>VLOOKUP(O339,BulletType!A$1:F$35,5)</f>
        <v>4.8</v>
      </c>
      <c r="L339">
        <f>VLOOKUP(O339,BulletType!A$1:F$35,5)</f>
        <v>4.8</v>
      </c>
      <c r="M339">
        <f>VLOOKUP(O339,BulletType!A$1:F$35,6)</f>
        <v>2.4</v>
      </c>
      <c r="N339" s="3" t="str">
        <f>VLOOKUP(P339,BulletColor!A$2:B362,2)</f>
        <v>0.25,1,1</v>
      </c>
      <c r="O339">
        <v>10</v>
      </c>
      <c r="P339" s="2">
        <v>8</v>
      </c>
      <c r="Q339" s="2">
        <f t="shared" si="24"/>
        <v>1</v>
      </c>
    </row>
    <row r="340" spans="1:17" x14ac:dyDescent="0.2">
      <c r="A340" s="1">
        <f t="shared" si="22"/>
        <v>110090</v>
      </c>
      <c r="B340" s="3" t="str">
        <f>VLOOKUP(O340,BulletType!A$1:F$35,2)&amp;VLOOKUP(P340,BulletColor!A$1:C$25,3)</f>
        <v>杆菌弹 深绿</v>
      </c>
      <c r="C340" s="3" t="str">
        <f t="shared" si="23"/>
        <v>Bullet110090</v>
      </c>
      <c r="D340" s="2">
        <f>VLOOKUP(O340,BulletType!A$2:N388,9)</f>
        <v>0</v>
      </c>
      <c r="E340" s="2">
        <f>VLOOKUP(O340,BulletType!A$2:N388,10)</f>
        <v>0</v>
      </c>
      <c r="F340" s="3" t="str">
        <f>CONCATENATE(VLOOKUP(O340,BulletType!A$2:I$35,8),VLOOKUP(P340,BulletColor!A$2:D$16,4))</f>
        <v>Bullet200090</v>
      </c>
      <c r="G340" s="3" t="str">
        <f>VLOOKUP(O340,BulletType!A$1:G$35,7)</f>
        <v>1.6,0.405</v>
      </c>
      <c r="H340" s="2">
        <f t="shared" si="21"/>
        <v>0</v>
      </c>
      <c r="I340">
        <f>VLOOKUP(O340,BulletType!A$1:F$35,3)</f>
        <v>1</v>
      </c>
      <c r="J340">
        <f>VLOOKUP(O340,BulletType!A$1:F$35,4)</f>
        <v>0</v>
      </c>
      <c r="K340">
        <f>VLOOKUP(O340,BulletType!A$1:F$35,5)</f>
        <v>4.8</v>
      </c>
      <c r="L340">
        <f>VLOOKUP(O340,BulletType!A$1:F$35,5)</f>
        <v>4.8</v>
      </c>
      <c r="M340">
        <f>VLOOKUP(O340,BulletType!A$1:F$35,6)</f>
        <v>2.4</v>
      </c>
      <c r="N340" s="3" t="str">
        <f>VLOOKUP(P340,BulletColor!A$2:B363,2)</f>
        <v>0.36,0.78,1</v>
      </c>
      <c r="O340">
        <v>10</v>
      </c>
      <c r="P340" s="2">
        <v>9</v>
      </c>
      <c r="Q340" s="2">
        <f t="shared" si="24"/>
        <v>0</v>
      </c>
    </row>
    <row r="341" spans="1:17" x14ac:dyDescent="0.2">
      <c r="A341" s="1">
        <f t="shared" si="22"/>
        <v>110091</v>
      </c>
      <c r="B341" s="3" t="str">
        <f>VLOOKUP(O341,BulletType!A$1:F$35,2)&amp;VLOOKUP(P341,BulletColor!A$1:C$25,3)</f>
        <v>杆菌弹 深绿</v>
      </c>
      <c r="C341" s="3" t="str">
        <f t="shared" si="23"/>
        <v>Bullet110090</v>
      </c>
      <c r="D341" s="2">
        <f>VLOOKUP(O341,BulletType!A$2:N389,9)</f>
        <v>0</v>
      </c>
      <c r="E341" s="2">
        <f>VLOOKUP(O341,BulletType!A$2:N389,10)</f>
        <v>0</v>
      </c>
      <c r="F341" s="3" t="str">
        <f>CONCATENATE(VLOOKUP(O341,BulletType!A$2:I$35,8),VLOOKUP(P341,BulletColor!A$2:D$16,4))</f>
        <v>Bullet200090</v>
      </c>
      <c r="G341" s="3" t="str">
        <f>VLOOKUP(O341,BulletType!A$1:G$35,7)</f>
        <v>1.6,0.405</v>
      </c>
      <c r="H341" s="2">
        <f t="shared" si="21"/>
        <v>1</v>
      </c>
      <c r="I341">
        <f>VLOOKUP(O341,BulletType!A$1:F$35,3)</f>
        <v>1</v>
      </c>
      <c r="J341">
        <f>VLOOKUP(O341,BulletType!A$1:F$35,4)</f>
        <v>0</v>
      </c>
      <c r="K341">
        <f>VLOOKUP(O341,BulletType!A$1:F$35,5)</f>
        <v>4.8</v>
      </c>
      <c r="L341">
        <f>VLOOKUP(O341,BulletType!A$1:F$35,5)</f>
        <v>4.8</v>
      </c>
      <c r="M341">
        <f>VLOOKUP(O341,BulletType!A$1:F$35,6)</f>
        <v>2.4</v>
      </c>
      <c r="N341" s="3" t="str">
        <f>VLOOKUP(P341,BulletColor!A$2:B364,2)</f>
        <v>0.36,0.78,1</v>
      </c>
      <c r="O341">
        <v>10</v>
      </c>
      <c r="P341" s="2">
        <v>9</v>
      </c>
      <c r="Q341" s="2">
        <f t="shared" si="24"/>
        <v>1</v>
      </c>
    </row>
    <row r="342" spans="1:17" x14ac:dyDescent="0.2">
      <c r="A342" s="1">
        <f t="shared" si="22"/>
        <v>110100</v>
      </c>
      <c r="B342" s="3" t="str">
        <f>VLOOKUP(O342,BulletType!A$1:F$35,2)&amp;VLOOKUP(P342,BulletColor!A$1:C$25,3)</f>
        <v>杆菌弹 绿</v>
      </c>
      <c r="C342" s="3" t="str">
        <f t="shared" si="23"/>
        <v>Bullet110100</v>
      </c>
      <c r="D342" s="2">
        <f>VLOOKUP(O342,BulletType!A$2:N390,9)</f>
        <v>0</v>
      </c>
      <c r="E342" s="2">
        <f>VLOOKUP(O342,BulletType!A$2:N390,10)</f>
        <v>0</v>
      </c>
      <c r="F342" s="3" t="str">
        <f>CONCATENATE(VLOOKUP(O342,BulletType!A$2:I$35,8),VLOOKUP(P342,BulletColor!A$2:D$16,4))</f>
        <v>Bullet200090</v>
      </c>
      <c r="G342" s="3" t="str">
        <f>VLOOKUP(O342,BulletType!A$1:G$35,7)</f>
        <v>1.6,0.405</v>
      </c>
      <c r="H342" s="2">
        <f t="shared" si="21"/>
        <v>0</v>
      </c>
      <c r="I342">
        <f>VLOOKUP(O342,BulletType!A$1:F$35,3)</f>
        <v>1</v>
      </c>
      <c r="J342">
        <f>VLOOKUP(O342,BulletType!A$1:F$35,4)</f>
        <v>0</v>
      </c>
      <c r="K342">
        <f>VLOOKUP(O342,BulletType!A$1:F$35,5)</f>
        <v>4.8</v>
      </c>
      <c r="L342">
        <f>VLOOKUP(O342,BulletType!A$1:F$35,5)</f>
        <v>4.8</v>
      </c>
      <c r="M342">
        <f>VLOOKUP(O342,BulletType!A$1:F$35,6)</f>
        <v>2.4</v>
      </c>
      <c r="N342" s="3" t="str">
        <f>VLOOKUP(P342,BulletColor!A$2:B365,2)</f>
        <v>0.36,0.78,1</v>
      </c>
      <c r="O342">
        <v>10</v>
      </c>
      <c r="P342" s="2">
        <v>10</v>
      </c>
      <c r="Q342" s="2">
        <f t="shared" si="24"/>
        <v>0</v>
      </c>
    </row>
    <row r="343" spans="1:17" x14ac:dyDescent="0.2">
      <c r="A343" s="1">
        <f t="shared" si="22"/>
        <v>110101</v>
      </c>
      <c r="B343" s="3" t="str">
        <f>VLOOKUP(O343,BulletType!A$1:F$35,2)&amp;VLOOKUP(P343,BulletColor!A$1:C$25,3)</f>
        <v>杆菌弹 绿</v>
      </c>
      <c r="C343" s="3" t="str">
        <f t="shared" si="23"/>
        <v>Bullet110100</v>
      </c>
      <c r="D343" s="2">
        <f>VLOOKUP(O343,BulletType!A$2:N391,9)</f>
        <v>0</v>
      </c>
      <c r="E343" s="2">
        <f>VLOOKUP(O343,BulletType!A$2:N391,10)</f>
        <v>0</v>
      </c>
      <c r="F343" s="3" t="str">
        <f>CONCATENATE(VLOOKUP(O343,BulletType!A$2:I$35,8),VLOOKUP(P343,BulletColor!A$2:D$16,4))</f>
        <v>Bullet200090</v>
      </c>
      <c r="G343" s="3" t="str">
        <f>VLOOKUP(O343,BulletType!A$1:G$35,7)</f>
        <v>1.6,0.405</v>
      </c>
      <c r="H343" s="2">
        <f t="shared" si="21"/>
        <v>1</v>
      </c>
      <c r="I343">
        <f>VLOOKUP(O343,BulletType!A$1:F$35,3)</f>
        <v>1</v>
      </c>
      <c r="J343">
        <f>VLOOKUP(O343,BulletType!A$1:F$35,4)</f>
        <v>0</v>
      </c>
      <c r="K343">
        <f>VLOOKUP(O343,BulletType!A$1:F$35,5)</f>
        <v>4.8</v>
      </c>
      <c r="L343">
        <f>VLOOKUP(O343,BulletType!A$1:F$35,5)</f>
        <v>4.8</v>
      </c>
      <c r="M343">
        <f>VLOOKUP(O343,BulletType!A$1:F$35,6)</f>
        <v>2.4</v>
      </c>
      <c r="N343" s="3" t="str">
        <f>VLOOKUP(P343,BulletColor!A$2:B366,2)</f>
        <v>0.36,0.78,1</v>
      </c>
      <c r="O343">
        <v>10</v>
      </c>
      <c r="P343" s="2">
        <v>10</v>
      </c>
      <c r="Q343" s="2">
        <f t="shared" si="24"/>
        <v>1</v>
      </c>
    </row>
    <row r="344" spans="1:17" x14ac:dyDescent="0.2">
      <c r="A344" s="1">
        <f t="shared" si="22"/>
        <v>110110</v>
      </c>
      <c r="B344" s="3" t="str">
        <f>VLOOKUP(O344,BulletType!A$1:F$35,2)&amp;VLOOKUP(P344,BulletColor!A$1:C$25,3)</f>
        <v>杆菌弹 黄绿</v>
      </c>
      <c r="C344" s="3" t="str">
        <f t="shared" si="23"/>
        <v>Bullet110110</v>
      </c>
      <c r="D344" s="2">
        <f>VLOOKUP(O344,BulletType!A$2:N392,9)</f>
        <v>0</v>
      </c>
      <c r="E344" s="2">
        <f>VLOOKUP(O344,BulletType!A$2:N392,10)</f>
        <v>0</v>
      </c>
      <c r="F344" s="3" t="str">
        <f>CONCATENATE(VLOOKUP(O344,BulletType!A$2:I$35,8),VLOOKUP(P344,BulletColor!A$2:D$16,4))</f>
        <v>Bullet200090</v>
      </c>
      <c r="G344" s="3" t="str">
        <f>VLOOKUP(O344,BulletType!A$1:G$35,7)</f>
        <v>1.6,0.405</v>
      </c>
      <c r="H344" s="2">
        <f t="shared" si="21"/>
        <v>0</v>
      </c>
      <c r="I344">
        <f>VLOOKUP(O344,BulletType!A$1:F$35,3)</f>
        <v>1</v>
      </c>
      <c r="J344">
        <f>VLOOKUP(O344,BulletType!A$1:F$35,4)</f>
        <v>0</v>
      </c>
      <c r="K344">
        <f>VLOOKUP(O344,BulletType!A$1:F$35,5)</f>
        <v>4.8</v>
      </c>
      <c r="L344">
        <f>VLOOKUP(O344,BulletType!A$1:F$35,5)</f>
        <v>4.8</v>
      </c>
      <c r="M344">
        <f>VLOOKUP(O344,BulletType!A$1:F$35,6)</f>
        <v>2.4</v>
      </c>
      <c r="N344" s="3" t="str">
        <f>VLOOKUP(P344,BulletColor!A$2:B367,2)</f>
        <v>0.9,1,0.4</v>
      </c>
      <c r="O344">
        <v>10</v>
      </c>
      <c r="P344" s="2">
        <v>11</v>
      </c>
      <c r="Q344" s="2">
        <f t="shared" si="24"/>
        <v>0</v>
      </c>
    </row>
    <row r="345" spans="1:17" x14ac:dyDescent="0.2">
      <c r="A345" s="1">
        <f t="shared" si="22"/>
        <v>110111</v>
      </c>
      <c r="B345" s="3" t="str">
        <f>VLOOKUP(O345,BulletType!A$1:F$35,2)&amp;VLOOKUP(P345,BulletColor!A$1:C$25,3)</f>
        <v>杆菌弹 黄绿</v>
      </c>
      <c r="C345" s="3" t="str">
        <f t="shared" si="23"/>
        <v>Bullet110110</v>
      </c>
      <c r="D345" s="2">
        <f>VLOOKUP(O345,BulletType!A$2:N393,9)</f>
        <v>0</v>
      </c>
      <c r="E345" s="2">
        <f>VLOOKUP(O345,BulletType!A$2:N393,10)</f>
        <v>0</v>
      </c>
      <c r="F345" s="3" t="str">
        <f>CONCATENATE(VLOOKUP(O345,BulletType!A$2:I$35,8),VLOOKUP(P345,BulletColor!A$2:D$16,4))</f>
        <v>Bullet200090</v>
      </c>
      <c r="G345" s="3" t="str">
        <f>VLOOKUP(O345,BulletType!A$1:G$35,7)</f>
        <v>1.6,0.405</v>
      </c>
      <c r="H345" s="2">
        <f t="shared" si="21"/>
        <v>1</v>
      </c>
      <c r="I345">
        <f>VLOOKUP(O345,BulletType!A$1:F$35,3)</f>
        <v>1</v>
      </c>
      <c r="J345">
        <f>VLOOKUP(O345,BulletType!A$1:F$35,4)</f>
        <v>0</v>
      </c>
      <c r="K345">
        <f>VLOOKUP(O345,BulletType!A$1:F$35,5)</f>
        <v>4.8</v>
      </c>
      <c r="L345">
        <f>VLOOKUP(O345,BulletType!A$1:F$35,5)</f>
        <v>4.8</v>
      </c>
      <c r="M345">
        <f>VLOOKUP(O345,BulletType!A$1:F$35,6)</f>
        <v>2.4</v>
      </c>
      <c r="N345" s="3" t="str">
        <f>VLOOKUP(P345,BulletColor!A$2:B368,2)</f>
        <v>0.9,1,0.4</v>
      </c>
      <c r="O345">
        <v>10</v>
      </c>
      <c r="P345" s="2">
        <v>11</v>
      </c>
      <c r="Q345" s="2">
        <f t="shared" si="24"/>
        <v>1</v>
      </c>
    </row>
    <row r="346" spans="1:17" x14ac:dyDescent="0.2">
      <c r="A346" s="1">
        <f t="shared" si="22"/>
        <v>110120</v>
      </c>
      <c r="B346" s="3" t="str">
        <f>VLOOKUP(O346,BulletType!A$1:F$35,2)&amp;VLOOKUP(P346,BulletColor!A$1:C$25,3)</f>
        <v>杆菌弹 深黄</v>
      </c>
      <c r="C346" s="3" t="str">
        <f t="shared" si="23"/>
        <v>Bullet110120</v>
      </c>
      <c r="D346" s="2">
        <f>VLOOKUP(O346,BulletType!A$2:N394,9)</f>
        <v>0</v>
      </c>
      <c r="E346" s="2">
        <f>VLOOKUP(O346,BulletType!A$2:N394,10)</f>
        <v>0</v>
      </c>
      <c r="F346" s="3" t="str">
        <f>CONCATENATE(VLOOKUP(O346,BulletType!A$2:I$35,8),VLOOKUP(P346,BulletColor!A$2:D$16,4))</f>
        <v>Bullet200090</v>
      </c>
      <c r="G346" s="3" t="str">
        <f>VLOOKUP(O346,BulletType!A$1:G$35,7)</f>
        <v>1.6,0.405</v>
      </c>
      <c r="H346" s="2">
        <f t="shared" si="21"/>
        <v>0</v>
      </c>
      <c r="I346">
        <f>VLOOKUP(O346,BulletType!A$1:F$35,3)</f>
        <v>1</v>
      </c>
      <c r="J346">
        <f>VLOOKUP(O346,BulletType!A$1:F$35,4)</f>
        <v>0</v>
      </c>
      <c r="K346">
        <f>VLOOKUP(O346,BulletType!A$1:F$35,5)</f>
        <v>4.8</v>
      </c>
      <c r="L346">
        <f>VLOOKUP(O346,BulletType!A$1:F$35,5)</f>
        <v>4.8</v>
      </c>
      <c r="M346">
        <f>VLOOKUP(O346,BulletType!A$1:F$35,6)</f>
        <v>2.4</v>
      </c>
      <c r="N346" s="3" t="str">
        <f>VLOOKUP(P346,BulletColor!A$2:B369,2)</f>
        <v>0.9,1,0.4</v>
      </c>
      <c r="O346">
        <v>10</v>
      </c>
      <c r="P346" s="2">
        <v>12</v>
      </c>
      <c r="Q346" s="2">
        <f t="shared" si="24"/>
        <v>0</v>
      </c>
    </row>
    <row r="347" spans="1:17" x14ac:dyDescent="0.2">
      <c r="A347" s="1">
        <f t="shared" si="22"/>
        <v>110121</v>
      </c>
      <c r="B347" s="3" t="str">
        <f>VLOOKUP(O347,BulletType!A$1:F$35,2)&amp;VLOOKUP(P347,BulletColor!A$1:C$25,3)</f>
        <v>杆菌弹 深黄</v>
      </c>
      <c r="C347" s="3" t="str">
        <f t="shared" si="23"/>
        <v>Bullet110120</v>
      </c>
      <c r="D347" s="2">
        <f>VLOOKUP(O347,BulletType!A$2:N395,9)</f>
        <v>0</v>
      </c>
      <c r="E347" s="2">
        <f>VLOOKUP(O347,BulletType!A$2:N395,10)</f>
        <v>0</v>
      </c>
      <c r="F347" s="3" t="str">
        <f>CONCATENATE(VLOOKUP(O347,BulletType!A$2:I$35,8),VLOOKUP(P347,BulletColor!A$2:D$16,4))</f>
        <v>Bullet200090</v>
      </c>
      <c r="G347" s="3" t="str">
        <f>VLOOKUP(O347,BulletType!A$1:G$35,7)</f>
        <v>1.6,0.405</v>
      </c>
      <c r="H347" s="2">
        <f t="shared" si="21"/>
        <v>1</v>
      </c>
      <c r="I347">
        <f>VLOOKUP(O347,BulletType!A$1:F$35,3)</f>
        <v>1</v>
      </c>
      <c r="J347">
        <f>VLOOKUP(O347,BulletType!A$1:F$35,4)</f>
        <v>0</v>
      </c>
      <c r="K347">
        <f>VLOOKUP(O347,BulletType!A$1:F$35,5)</f>
        <v>4.8</v>
      </c>
      <c r="L347">
        <f>VLOOKUP(O347,BulletType!A$1:F$35,5)</f>
        <v>4.8</v>
      </c>
      <c r="M347">
        <f>VLOOKUP(O347,BulletType!A$1:F$35,6)</f>
        <v>2.4</v>
      </c>
      <c r="N347" s="3" t="str">
        <f>VLOOKUP(P347,BulletColor!A$2:B370,2)</f>
        <v>0.9,1,0.4</v>
      </c>
      <c r="O347">
        <v>10</v>
      </c>
      <c r="P347" s="2">
        <v>12</v>
      </c>
      <c r="Q347" s="2">
        <f t="shared" si="24"/>
        <v>1</v>
      </c>
    </row>
    <row r="348" spans="1:17" x14ac:dyDescent="0.2">
      <c r="A348" s="1">
        <f t="shared" si="22"/>
        <v>110130</v>
      </c>
      <c r="B348" s="3" t="str">
        <f>VLOOKUP(O348,BulletType!A$1:F$35,2)&amp;VLOOKUP(P348,BulletColor!A$1:C$25,3)</f>
        <v>杆菌弹 浅黄</v>
      </c>
      <c r="C348" s="3" t="str">
        <f t="shared" si="23"/>
        <v>Bullet110130</v>
      </c>
      <c r="D348" s="2">
        <f>VLOOKUP(O348,BulletType!A$2:N396,9)</f>
        <v>0</v>
      </c>
      <c r="E348" s="2">
        <f>VLOOKUP(O348,BulletType!A$2:N396,10)</f>
        <v>0</v>
      </c>
      <c r="F348" s="3" t="str">
        <f>CONCATENATE(VLOOKUP(O348,BulletType!A$2:I$35,8),VLOOKUP(P348,BulletColor!A$2:D$16,4))</f>
        <v>Bullet200130</v>
      </c>
      <c r="G348" s="3" t="str">
        <f>VLOOKUP(O348,BulletType!A$1:G$35,7)</f>
        <v>1.6,0.405</v>
      </c>
      <c r="H348" s="2">
        <f t="shared" si="21"/>
        <v>0</v>
      </c>
      <c r="I348">
        <f>VLOOKUP(O348,BulletType!A$1:F$35,3)</f>
        <v>1</v>
      </c>
      <c r="J348">
        <f>VLOOKUP(O348,BulletType!A$1:F$35,4)</f>
        <v>0</v>
      </c>
      <c r="K348">
        <f>VLOOKUP(O348,BulletType!A$1:F$35,5)</f>
        <v>4.8</v>
      </c>
      <c r="L348">
        <f>VLOOKUP(O348,BulletType!A$1:F$35,5)</f>
        <v>4.8</v>
      </c>
      <c r="M348">
        <f>VLOOKUP(O348,BulletType!A$1:F$35,6)</f>
        <v>2.4</v>
      </c>
      <c r="N348" s="3" t="str">
        <f>VLOOKUP(P348,BulletColor!A$2:B371,2)</f>
        <v>0.9,1,0.4</v>
      </c>
      <c r="O348">
        <v>10</v>
      </c>
      <c r="P348" s="2">
        <v>13</v>
      </c>
      <c r="Q348" s="2">
        <f t="shared" si="24"/>
        <v>0</v>
      </c>
    </row>
    <row r="349" spans="1:17" x14ac:dyDescent="0.2">
      <c r="A349" s="1">
        <f t="shared" si="22"/>
        <v>110131</v>
      </c>
      <c r="B349" s="3" t="str">
        <f>VLOOKUP(O349,BulletType!A$1:F$35,2)&amp;VLOOKUP(P349,BulletColor!A$1:C$25,3)</f>
        <v>杆菌弹 浅黄</v>
      </c>
      <c r="C349" s="3" t="str">
        <f t="shared" si="23"/>
        <v>Bullet110130</v>
      </c>
      <c r="D349" s="2">
        <f>VLOOKUP(O349,BulletType!A$2:N397,9)</f>
        <v>0</v>
      </c>
      <c r="E349" s="2">
        <f>VLOOKUP(O349,BulletType!A$2:N397,10)</f>
        <v>0</v>
      </c>
      <c r="F349" s="3" t="str">
        <f>CONCATENATE(VLOOKUP(O349,BulletType!A$2:I$35,8),VLOOKUP(P349,BulletColor!A$2:D$16,4))</f>
        <v>Bullet200130</v>
      </c>
      <c r="G349" s="3" t="str">
        <f>VLOOKUP(O349,BulletType!A$1:G$35,7)</f>
        <v>1.6,0.405</v>
      </c>
      <c r="H349" s="2">
        <f t="shared" si="21"/>
        <v>1</v>
      </c>
      <c r="I349">
        <f>VLOOKUP(O349,BulletType!A$1:F$35,3)</f>
        <v>1</v>
      </c>
      <c r="J349">
        <f>VLOOKUP(O349,BulletType!A$1:F$35,4)</f>
        <v>0</v>
      </c>
      <c r="K349">
        <f>VLOOKUP(O349,BulletType!A$1:F$35,5)</f>
        <v>4.8</v>
      </c>
      <c r="L349">
        <f>VLOOKUP(O349,BulletType!A$1:F$35,5)</f>
        <v>4.8</v>
      </c>
      <c r="M349">
        <f>VLOOKUP(O349,BulletType!A$1:F$35,6)</f>
        <v>2.4</v>
      </c>
      <c r="N349" s="3" t="str">
        <f>VLOOKUP(P349,BulletColor!A$2:B372,2)</f>
        <v>0.9,1,0.4</v>
      </c>
      <c r="O349">
        <v>10</v>
      </c>
      <c r="P349" s="2">
        <v>13</v>
      </c>
      <c r="Q349" s="2">
        <f t="shared" si="24"/>
        <v>1</v>
      </c>
    </row>
    <row r="350" spans="1:17" x14ac:dyDescent="0.2">
      <c r="A350" s="1">
        <f t="shared" si="22"/>
        <v>110140</v>
      </c>
      <c r="B350" s="3" t="str">
        <f>VLOOKUP(O350,BulletType!A$1:F$35,2)&amp;VLOOKUP(P350,BulletColor!A$1:C$25,3)</f>
        <v>杆菌弹 棕黄</v>
      </c>
      <c r="C350" s="3" t="str">
        <f t="shared" si="23"/>
        <v>Bullet110140</v>
      </c>
      <c r="D350" s="2">
        <f>VLOOKUP(O350,BulletType!A$2:N398,9)</f>
        <v>0</v>
      </c>
      <c r="E350" s="2">
        <f>VLOOKUP(O350,BulletType!A$2:N398,10)</f>
        <v>0</v>
      </c>
      <c r="F350" s="3" t="str">
        <f>CONCATENATE(VLOOKUP(O350,BulletType!A$2:I$35,8),VLOOKUP(P350,BulletColor!A$2:D$16,4))</f>
        <v>Bullet200130</v>
      </c>
      <c r="G350" s="3" t="str">
        <f>VLOOKUP(O350,BulletType!A$1:G$35,7)</f>
        <v>1.6,0.405</v>
      </c>
      <c r="H350" s="2">
        <f t="shared" si="21"/>
        <v>0</v>
      </c>
      <c r="I350">
        <f>VLOOKUP(O350,BulletType!A$1:F$35,3)</f>
        <v>1</v>
      </c>
      <c r="J350">
        <f>VLOOKUP(O350,BulletType!A$1:F$35,4)</f>
        <v>0</v>
      </c>
      <c r="K350">
        <f>VLOOKUP(O350,BulletType!A$1:F$35,5)</f>
        <v>4.8</v>
      </c>
      <c r="L350">
        <f>VLOOKUP(O350,BulletType!A$1:F$35,5)</f>
        <v>4.8</v>
      </c>
      <c r="M350">
        <f>VLOOKUP(O350,BulletType!A$1:F$35,6)</f>
        <v>2.4</v>
      </c>
      <c r="N350" s="3" t="str">
        <f>VLOOKUP(P350,BulletColor!A$2:B373,2)</f>
        <v>0.9,1,0.4</v>
      </c>
      <c r="O350">
        <v>10</v>
      </c>
      <c r="P350" s="2">
        <v>14</v>
      </c>
      <c r="Q350" s="2">
        <f t="shared" si="24"/>
        <v>0</v>
      </c>
    </row>
    <row r="351" spans="1:17" x14ac:dyDescent="0.2">
      <c r="A351" s="1">
        <f t="shared" si="22"/>
        <v>110141</v>
      </c>
      <c r="B351" s="3" t="str">
        <f>VLOOKUP(O351,BulletType!A$1:F$35,2)&amp;VLOOKUP(P351,BulletColor!A$1:C$25,3)</f>
        <v>杆菌弹 棕黄</v>
      </c>
      <c r="C351" s="3" t="str">
        <f t="shared" si="23"/>
        <v>Bullet110140</v>
      </c>
      <c r="D351" s="2">
        <f>VLOOKUP(O351,BulletType!A$2:N399,9)</f>
        <v>0</v>
      </c>
      <c r="E351" s="2">
        <f>VLOOKUP(O351,BulletType!A$2:N399,10)</f>
        <v>0</v>
      </c>
      <c r="F351" s="3" t="str">
        <f>CONCATENATE(VLOOKUP(O351,BulletType!A$2:I$35,8),VLOOKUP(P351,BulletColor!A$2:D$16,4))</f>
        <v>Bullet200130</v>
      </c>
      <c r="G351" s="3" t="str">
        <f>VLOOKUP(O351,BulletType!A$1:G$35,7)</f>
        <v>1.6,0.405</v>
      </c>
      <c r="H351" s="2">
        <f t="shared" si="21"/>
        <v>1</v>
      </c>
      <c r="I351">
        <f>VLOOKUP(O351,BulletType!A$1:F$35,3)</f>
        <v>1</v>
      </c>
      <c r="J351">
        <f>VLOOKUP(O351,BulletType!A$1:F$35,4)</f>
        <v>0</v>
      </c>
      <c r="K351">
        <f>VLOOKUP(O351,BulletType!A$1:F$35,5)</f>
        <v>4.8</v>
      </c>
      <c r="L351">
        <f>VLOOKUP(O351,BulletType!A$1:F$35,5)</f>
        <v>4.8</v>
      </c>
      <c r="M351">
        <f>VLOOKUP(O351,BulletType!A$1:F$35,6)</f>
        <v>2.4</v>
      </c>
      <c r="N351" s="3" t="str">
        <f>VLOOKUP(P351,BulletColor!A$2:B374,2)</f>
        <v>0.9,1,0.4</v>
      </c>
      <c r="O351">
        <v>10</v>
      </c>
      <c r="P351" s="2">
        <v>14</v>
      </c>
      <c r="Q351" s="2">
        <f t="shared" si="24"/>
        <v>1</v>
      </c>
    </row>
    <row r="352" spans="1:17" x14ac:dyDescent="0.2">
      <c r="A352" s="1">
        <f t="shared" si="22"/>
        <v>110150</v>
      </c>
      <c r="B352" s="3" t="str">
        <f>VLOOKUP(O352,BulletType!A$1:F$35,2)&amp;VLOOKUP(P352,BulletColor!A$1:C$25,3)</f>
        <v>杆菌弹 白</v>
      </c>
      <c r="C352" s="3" t="str">
        <f t="shared" si="23"/>
        <v>Bullet110150</v>
      </c>
      <c r="D352" s="2">
        <f>VLOOKUP(O352,BulletType!A$2:N400,9)</f>
        <v>0</v>
      </c>
      <c r="E352" s="2">
        <f>VLOOKUP(O352,BulletType!A$2:N400,10)</f>
        <v>0</v>
      </c>
      <c r="F352" s="3" t="str">
        <f>CONCATENATE(VLOOKUP(O352,BulletType!A$2:I$35,8),VLOOKUP(P352,BulletColor!A$2:D$16,4))</f>
        <v>Bullet200130</v>
      </c>
      <c r="G352" s="3" t="str">
        <f>VLOOKUP(O352,BulletType!A$1:G$35,7)</f>
        <v>1.6,0.405</v>
      </c>
      <c r="H352" s="2">
        <f t="shared" si="21"/>
        <v>0</v>
      </c>
      <c r="I352">
        <f>VLOOKUP(O352,BulletType!A$1:F$35,3)</f>
        <v>1</v>
      </c>
      <c r="J352">
        <f>VLOOKUP(O352,BulletType!A$1:F$35,4)</f>
        <v>0</v>
      </c>
      <c r="K352">
        <f>VLOOKUP(O352,BulletType!A$1:F$35,5)</f>
        <v>4.8</v>
      </c>
      <c r="L352">
        <f>VLOOKUP(O352,BulletType!A$1:F$35,5)</f>
        <v>4.8</v>
      </c>
      <c r="M352">
        <f>VLOOKUP(O352,BulletType!A$1:F$35,6)</f>
        <v>2.4</v>
      </c>
      <c r="N352" s="3" t="str">
        <f>VLOOKUP(P352,BulletColor!A$2:B375,2)</f>
        <v>0.8,0.8,0.8</v>
      </c>
      <c r="O352">
        <v>10</v>
      </c>
      <c r="P352" s="2">
        <v>15</v>
      </c>
      <c r="Q352" s="2">
        <f t="shared" si="24"/>
        <v>0</v>
      </c>
    </row>
    <row r="353" spans="1:17" x14ac:dyDescent="0.2">
      <c r="A353" s="1">
        <f t="shared" si="22"/>
        <v>110151</v>
      </c>
      <c r="B353" s="3" t="str">
        <f>VLOOKUP(O353,BulletType!A$1:F$35,2)&amp;VLOOKUP(P353,BulletColor!A$1:C$25,3)</f>
        <v>杆菌弹 白</v>
      </c>
      <c r="C353" s="3" t="str">
        <f t="shared" si="23"/>
        <v>Bullet110150</v>
      </c>
      <c r="D353" s="2">
        <f>VLOOKUP(O353,BulletType!A$2:N401,9)</f>
        <v>0</v>
      </c>
      <c r="E353" s="2">
        <f>VLOOKUP(O353,BulletType!A$2:N401,10)</f>
        <v>0</v>
      </c>
      <c r="F353" s="3" t="str">
        <f>CONCATENATE(VLOOKUP(O353,BulletType!A$2:I$35,8),VLOOKUP(P353,BulletColor!A$2:D$16,4))</f>
        <v>Bullet200130</v>
      </c>
      <c r="G353" s="3" t="str">
        <f>VLOOKUP(O353,BulletType!A$1:G$35,7)</f>
        <v>1.6,0.405</v>
      </c>
      <c r="H353" s="2">
        <f t="shared" si="21"/>
        <v>1</v>
      </c>
      <c r="I353">
        <f>VLOOKUP(O353,BulletType!A$1:F$35,3)</f>
        <v>1</v>
      </c>
      <c r="J353">
        <f>VLOOKUP(O353,BulletType!A$1:F$35,4)</f>
        <v>0</v>
      </c>
      <c r="K353">
        <f>VLOOKUP(O353,BulletType!A$1:F$35,5)</f>
        <v>4.8</v>
      </c>
      <c r="L353">
        <f>VLOOKUP(O353,BulletType!A$1:F$35,5)</f>
        <v>4.8</v>
      </c>
      <c r="M353">
        <f>VLOOKUP(O353,BulletType!A$1:F$35,6)</f>
        <v>2.4</v>
      </c>
      <c r="N353" s="3" t="str">
        <f>VLOOKUP(P353,BulletColor!A$2:B376,2)</f>
        <v>0.8,0.8,0.8</v>
      </c>
      <c r="O353">
        <v>10</v>
      </c>
      <c r="P353" s="2">
        <v>15</v>
      </c>
      <c r="Q353" s="2">
        <f t="shared" si="24"/>
        <v>1</v>
      </c>
    </row>
    <row r="354" spans="1:17" x14ac:dyDescent="0.2">
      <c r="A354" s="1">
        <f t="shared" si="22"/>
        <v>111000</v>
      </c>
      <c r="B354" s="3" t="str">
        <f>VLOOKUP(O354,BulletType!A$1:F$35,2)&amp;VLOOKUP(P354,BulletColor!A$1:C$25,3)</f>
        <v>星弹（小）灰</v>
      </c>
      <c r="C354" s="3" t="str">
        <f t="shared" si="23"/>
        <v>Bullet111000</v>
      </c>
      <c r="D354" s="2">
        <f>VLOOKUP(O354,BulletType!A$2:N402,9)</f>
        <v>0</v>
      </c>
      <c r="E354" s="2">
        <f>VLOOKUP(O354,BulletType!A$2:N402,10)</f>
        <v>0</v>
      </c>
      <c r="F354" s="3" t="str">
        <f>CONCATENATE(VLOOKUP(O354,BulletType!A$2:I$35,8),VLOOKUP(P354,BulletColor!A$2:D$16,4))</f>
        <v>Bullet200000</v>
      </c>
      <c r="G354" s="3" t="str">
        <f>VLOOKUP(O354,BulletType!A$1:G$35,7)</f>
        <v>2,0.5</v>
      </c>
      <c r="H354" s="2">
        <f t="shared" si="21"/>
        <v>0</v>
      </c>
      <c r="I354">
        <f>VLOOKUP(O354,BulletType!A$1:F$35,3)</f>
        <v>0</v>
      </c>
      <c r="J354">
        <f>VLOOKUP(O354,BulletType!A$1:F$35,4)</f>
        <v>3</v>
      </c>
      <c r="K354">
        <f>VLOOKUP(O354,BulletType!A$1:F$35,5)</f>
        <v>8</v>
      </c>
      <c r="L354">
        <f>VLOOKUP(O354,BulletType!A$1:F$35,5)</f>
        <v>8</v>
      </c>
      <c r="M354">
        <f>VLOOKUP(O354,BulletType!A$1:F$35,6)</f>
        <v>4</v>
      </c>
      <c r="N354" s="3" t="str">
        <f>VLOOKUP(P354,BulletColor!A$2:B377,2)</f>
        <v>0.5,0.5,0.5</v>
      </c>
      <c r="O354">
        <v>11</v>
      </c>
      <c r="P354" s="2">
        <v>0</v>
      </c>
      <c r="Q354" s="2">
        <f t="shared" si="24"/>
        <v>0</v>
      </c>
    </row>
    <row r="355" spans="1:17" x14ac:dyDescent="0.2">
      <c r="A355" s="1">
        <f t="shared" si="22"/>
        <v>111001</v>
      </c>
      <c r="B355" s="3" t="str">
        <f>VLOOKUP(O355,BulletType!A$1:F$35,2)&amp;VLOOKUP(P355,BulletColor!A$1:C$25,3)</f>
        <v>星弹（小）灰</v>
      </c>
      <c r="C355" s="3" t="str">
        <f t="shared" si="23"/>
        <v>Bullet111000</v>
      </c>
      <c r="D355" s="2">
        <f>VLOOKUP(O355,BulletType!A$2:N403,9)</f>
        <v>0</v>
      </c>
      <c r="E355" s="2">
        <f>VLOOKUP(O355,BulletType!A$2:N403,10)</f>
        <v>0</v>
      </c>
      <c r="F355" s="3" t="str">
        <f>CONCATENATE(VLOOKUP(O355,BulletType!A$2:I$35,8),VLOOKUP(P355,BulletColor!A$2:D$16,4))</f>
        <v>Bullet200000</v>
      </c>
      <c r="G355" s="3" t="str">
        <f>VLOOKUP(O355,BulletType!A$1:G$35,7)</f>
        <v>2,0.5</v>
      </c>
      <c r="H355" s="2">
        <f t="shared" si="21"/>
        <v>1</v>
      </c>
      <c r="I355">
        <f>VLOOKUP(O355,BulletType!A$1:F$35,3)</f>
        <v>0</v>
      </c>
      <c r="J355">
        <f>VLOOKUP(O355,BulletType!A$1:F$35,4)</f>
        <v>3</v>
      </c>
      <c r="K355">
        <f>VLOOKUP(O355,BulletType!A$1:F$35,5)</f>
        <v>8</v>
      </c>
      <c r="L355">
        <f>VLOOKUP(O355,BulletType!A$1:F$35,5)</f>
        <v>8</v>
      </c>
      <c r="M355">
        <f>VLOOKUP(O355,BulletType!A$1:F$35,6)</f>
        <v>4</v>
      </c>
      <c r="N355" s="3" t="str">
        <f>VLOOKUP(P355,BulletColor!A$2:B378,2)</f>
        <v>0.5,0.5,0.5</v>
      </c>
      <c r="O355">
        <v>11</v>
      </c>
      <c r="P355" s="2">
        <v>0</v>
      </c>
      <c r="Q355" s="2">
        <f t="shared" si="24"/>
        <v>1</v>
      </c>
    </row>
    <row r="356" spans="1:17" x14ac:dyDescent="0.2">
      <c r="A356" s="1">
        <f t="shared" si="22"/>
        <v>111010</v>
      </c>
      <c r="B356" s="3" t="str">
        <f>VLOOKUP(O356,BulletType!A$1:F$35,2)&amp;VLOOKUP(P356,BulletColor!A$1:C$25,3)</f>
        <v>星弹（小）深红</v>
      </c>
      <c r="C356" s="3" t="str">
        <f t="shared" si="23"/>
        <v>Bullet111010</v>
      </c>
      <c r="D356" s="2">
        <f>VLOOKUP(O356,BulletType!A$2:N404,9)</f>
        <v>0</v>
      </c>
      <c r="E356" s="2">
        <f>VLOOKUP(O356,BulletType!A$2:N404,10)</f>
        <v>0</v>
      </c>
      <c r="F356" s="3" t="str">
        <f>CONCATENATE(VLOOKUP(O356,BulletType!A$2:I$35,8),VLOOKUP(P356,BulletColor!A$2:D$16,4))</f>
        <v>Bullet200010</v>
      </c>
      <c r="G356" s="3" t="str">
        <f>VLOOKUP(O356,BulletType!A$1:G$35,7)</f>
        <v>2,0.5</v>
      </c>
      <c r="H356" s="2">
        <f t="shared" si="21"/>
        <v>0</v>
      </c>
      <c r="I356">
        <f>VLOOKUP(O356,BulletType!A$1:F$35,3)</f>
        <v>0</v>
      </c>
      <c r="J356">
        <f>VLOOKUP(O356,BulletType!A$1:F$35,4)</f>
        <v>3</v>
      </c>
      <c r="K356">
        <f>VLOOKUP(O356,BulletType!A$1:F$35,5)</f>
        <v>8</v>
      </c>
      <c r="L356">
        <f>VLOOKUP(O356,BulletType!A$1:F$35,5)</f>
        <v>8</v>
      </c>
      <c r="M356">
        <f>VLOOKUP(O356,BulletType!A$1:F$35,6)</f>
        <v>4</v>
      </c>
      <c r="N356" s="3" t="str">
        <f>VLOOKUP(P356,BulletColor!A$2:B379,2)</f>
        <v>0.625,0.3,0.3</v>
      </c>
      <c r="O356">
        <v>11</v>
      </c>
      <c r="P356" s="2">
        <v>1</v>
      </c>
      <c r="Q356" s="2">
        <f t="shared" si="24"/>
        <v>0</v>
      </c>
    </row>
    <row r="357" spans="1:17" x14ac:dyDescent="0.2">
      <c r="A357" s="1">
        <f t="shared" si="22"/>
        <v>111011</v>
      </c>
      <c r="B357" s="3" t="str">
        <f>VLOOKUP(O357,BulletType!A$1:F$35,2)&amp;VLOOKUP(P357,BulletColor!A$1:C$25,3)</f>
        <v>星弹（小）深红</v>
      </c>
      <c r="C357" s="3" t="str">
        <f t="shared" si="23"/>
        <v>Bullet111010</v>
      </c>
      <c r="D357" s="2">
        <f>VLOOKUP(O357,BulletType!A$2:N405,9)</f>
        <v>0</v>
      </c>
      <c r="E357" s="2">
        <f>VLOOKUP(O357,BulletType!A$2:N405,10)</f>
        <v>0</v>
      </c>
      <c r="F357" s="3" t="str">
        <f>CONCATENATE(VLOOKUP(O357,BulletType!A$2:I$35,8),VLOOKUP(P357,BulletColor!A$2:D$16,4))</f>
        <v>Bullet200010</v>
      </c>
      <c r="G357" s="3" t="str">
        <f>VLOOKUP(O357,BulletType!A$1:G$35,7)</f>
        <v>2,0.5</v>
      </c>
      <c r="H357" s="2">
        <f t="shared" si="21"/>
        <v>1</v>
      </c>
      <c r="I357">
        <f>VLOOKUP(O357,BulletType!A$1:F$35,3)</f>
        <v>0</v>
      </c>
      <c r="J357">
        <f>VLOOKUP(O357,BulletType!A$1:F$35,4)</f>
        <v>3</v>
      </c>
      <c r="K357">
        <f>VLOOKUP(O357,BulletType!A$1:F$35,5)</f>
        <v>8</v>
      </c>
      <c r="L357">
        <f>VLOOKUP(O357,BulletType!A$1:F$35,5)</f>
        <v>8</v>
      </c>
      <c r="M357">
        <f>VLOOKUP(O357,BulletType!A$1:F$35,6)</f>
        <v>4</v>
      </c>
      <c r="N357" s="3" t="str">
        <f>VLOOKUP(P357,BulletColor!A$2:B380,2)</f>
        <v>0.625,0.3,0.3</v>
      </c>
      <c r="O357">
        <v>11</v>
      </c>
      <c r="P357" s="2">
        <v>1</v>
      </c>
      <c r="Q357" s="2">
        <f t="shared" si="24"/>
        <v>1</v>
      </c>
    </row>
    <row r="358" spans="1:17" x14ac:dyDescent="0.2">
      <c r="A358" s="1">
        <f t="shared" si="22"/>
        <v>111020</v>
      </c>
      <c r="B358" s="3" t="str">
        <f>VLOOKUP(O358,BulletType!A$1:F$35,2)&amp;VLOOKUP(P358,BulletColor!A$1:C$25,3)</f>
        <v>星弹（小）红</v>
      </c>
      <c r="C358" s="3" t="str">
        <f t="shared" si="23"/>
        <v>Bullet111020</v>
      </c>
      <c r="D358" s="2">
        <f>VLOOKUP(O358,BulletType!A$2:N406,9)</f>
        <v>0</v>
      </c>
      <c r="E358" s="2">
        <f>VLOOKUP(O358,BulletType!A$2:N406,10)</f>
        <v>0</v>
      </c>
      <c r="F358" s="3" t="str">
        <f>CONCATENATE(VLOOKUP(O358,BulletType!A$2:I$35,8),VLOOKUP(P358,BulletColor!A$2:D$16,4))</f>
        <v>Bullet200010</v>
      </c>
      <c r="G358" s="3" t="str">
        <f>VLOOKUP(O358,BulletType!A$1:G$35,7)</f>
        <v>2,0.5</v>
      </c>
      <c r="H358" s="2">
        <f t="shared" si="21"/>
        <v>0</v>
      </c>
      <c r="I358">
        <f>VLOOKUP(O358,BulletType!A$1:F$35,3)</f>
        <v>0</v>
      </c>
      <c r="J358">
        <f>VLOOKUP(O358,BulletType!A$1:F$35,4)</f>
        <v>3</v>
      </c>
      <c r="K358">
        <f>VLOOKUP(O358,BulletType!A$1:F$35,5)</f>
        <v>8</v>
      </c>
      <c r="L358">
        <f>VLOOKUP(O358,BulletType!A$1:F$35,5)</f>
        <v>8</v>
      </c>
      <c r="M358">
        <f>VLOOKUP(O358,BulletType!A$1:F$35,6)</f>
        <v>4</v>
      </c>
      <c r="N358" s="3" t="str">
        <f>VLOOKUP(P358,BulletColor!A$2:B381,2)</f>
        <v>0.8,0.3,0.3</v>
      </c>
      <c r="O358">
        <v>11</v>
      </c>
      <c r="P358" s="2">
        <v>2</v>
      </c>
      <c r="Q358" s="2">
        <f t="shared" si="24"/>
        <v>0</v>
      </c>
    </row>
    <row r="359" spans="1:17" x14ac:dyDescent="0.2">
      <c r="A359" s="1">
        <f t="shared" si="22"/>
        <v>111021</v>
      </c>
      <c r="B359" s="3" t="str">
        <f>VLOOKUP(O359,BulletType!A$1:F$35,2)&amp;VLOOKUP(P359,BulletColor!A$1:C$25,3)</f>
        <v>星弹（小）红</v>
      </c>
      <c r="C359" s="3" t="str">
        <f t="shared" si="23"/>
        <v>Bullet111020</v>
      </c>
      <c r="D359" s="2">
        <f>VLOOKUP(O359,BulletType!A$2:N407,9)</f>
        <v>0</v>
      </c>
      <c r="E359" s="2">
        <f>VLOOKUP(O359,BulletType!A$2:N407,10)</f>
        <v>0</v>
      </c>
      <c r="F359" s="3" t="str">
        <f>CONCATENATE(VLOOKUP(O359,BulletType!A$2:I$35,8),VLOOKUP(P359,BulletColor!A$2:D$16,4))</f>
        <v>Bullet200010</v>
      </c>
      <c r="G359" s="3" t="str">
        <f>VLOOKUP(O359,BulletType!A$1:G$35,7)</f>
        <v>2,0.5</v>
      </c>
      <c r="H359" s="2">
        <f t="shared" si="21"/>
        <v>1</v>
      </c>
      <c r="I359">
        <f>VLOOKUP(O359,BulletType!A$1:F$35,3)</f>
        <v>0</v>
      </c>
      <c r="J359">
        <f>VLOOKUP(O359,BulletType!A$1:F$35,4)</f>
        <v>3</v>
      </c>
      <c r="K359">
        <f>VLOOKUP(O359,BulletType!A$1:F$35,5)</f>
        <v>8</v>
      </c>
      <c r="L359">
        <f>VLOOKUP(O359,BulletType!A$1:F$35,5)</f>
        <v>8</v>
      </c>
      <c r="M359">
        <f>VLOOKUP(O359,BulletType!A$1:F$35,6)</f>
        <v>4</v>
      </c>
      <c r="N359" s="3" t="str">
        <f>VLOOKUP(P359,BulletColor!A$2:B382,2)</f>
        <v>0.8,0.3,0.3</v>
      </c>
      <c r="O359">
        <v>11</v>
      </c>
      <c r="P359" s="2">
        <v>2</v>
      </c>
      <c r="Q359" s="2">
        <f t="shared" si="24"/>
        <v>1</v>
      </c>
    </row>
    <row r="360" spans="1:17" x14ac:dyDescent="0.2">
      <c r="A360" s="1">
        <f t="shared" si="22"/>
        <v>111030</v>
      </c>
      <c r="B360" s="3" t="str">
        <f>VLOOKUP(O360,BulletType!A$1:F$35,2)&amp;VLOOKUP(P360,BulletColor!A$1:C$25,3)</f>
        <v>星弹（小）深紫</v>
      </c>
      <c r="C360" s="3" t="str">
        <f t="shared" si="23"/>
        <v>Bullet111030</v>
      </c>
      <c r="D360" s="2">
        <f>VLOOKUP(O360,BulletType!A$2:N408,9)</f>
        <v>0</v>
      </c>
      <c r="E360" s="2">
        <f>VLOOKUP(O360,BulletType!A$2:N408,10)</f>
        <v>0</v>
      </c>
      <c r="F360" s="3" t="str">
        <f>CONCATENATE(VLOOKUP(O360,BulletType!A$2:I$35,8),VLOOKUP(P360,BulletColor!A$2:D$16,4))</f>
        <v>Bullet200030</v>
      </c>
      <c r="G360" s="3" t="str">
        <f>VLOOKUP(O360,BulletType!A$1:G$35,7)</f>
        <v>2,0.5</v>
      </c>
      <c r="H360" s="2">
        <f t="shared" si="21"/>
        <v>0</v>
      </c>
      <c r="I360">
        <f>VLOOKUP(O360,BulletType!A$1:F$35,3)</f>
        <v>0</v>
      </c>
      <c r="J360">
        <f>VLOOKUP(O360,BulletType!A$1:F$35,4)</f>
        <v>3</v>
      </c>
      <c r="K360">
        <f>VLOOKUP(O360,BulletType!A$1:F$35,5)</f>
        <v>8</v>
      </c>
      <c r="L360">
        <f>VLOOKUP(O360,BulletType!A$1:F$35,5)</f>
        <v>8</v>
      </c>
      <c r="M360">
        <f>VLOOKUP(O360,BulletType!A$1:F$35,6)</f>
        <v>4</v>
      </c>
      <c r="N360" s="3" t="str">
        <f>VLOOKUP(P360,BulletColor!A$2:B383,2)</f>
        <v>1,0.65,1</v>
      </c>
      <c r="O360">
        <v>11</v>
      </c>
      <c r="P360" s="2">
        <v>3</v>
      </c>
      <c r="Q360" s="2">
        <f t="shared" si="24"/>
        <v>0</v>
      </c>
    </row>
    <row r="361" spans="1:17" x14ac:dyDescent="0.2">
      <c r="A361" s="1">
        <f t="shared" si="22"/>
        <v>111031</v>
      </c>
      <c r="B361" s="3" t="str">
        <f>VLOOKUP(O361,BulletType!A$1:F$35,2)&amp;VLOOKUP(P361,BulletColor!A$1:C$25,3)</f>
        <v>星弹（小）深紫</v>
      </c>
      <c r="C361" s="3" t="str">
        <f t="shared" si="23"/>
        <v>Bullet111030</v>
      </c>
      <c r="D361" s="2">
        <f>VLOOKUP(O361,BulletType!A$2:N409,9)</f>
        <v>0</v>
      </c>
      <c r="E361" s="2">
        <f>VLOOKUP(O361,BulletType!A$2:N409,10)</f>
        <v>0</v>
      </c>
      <c r="F361" s="3" t="str">
        <f>CONCATENATE(VLOOKUP(O361,BulletType!A$2:I$35,8),VLOOKUP(P361,BulletColor!A$2:D$16,4))</f>
        <v>Bullet200030</v>
      </c>
      <c r="G361" s="3" t="str">
        <f>VLOOKUP(O361,BulletType!A$1:G$35,7)</f>
        <v>2,0.5</v>
      </c>
      <c r="H361" s="2">
        <f t="shared" si="21"/>
        <v>1</v>
      </c>
      <c r="I361">
        <f>VLOOKUP(O361,BulletType!A$1:F$35,3)</f>
        <v>0</v>
      </c>
      <c r="J361">
        <f>VLOOKUP(O361,BulletType!A$1:F$35,4)</f>
        <v>3</v>
      </c>
      <c r="K361">
        <f>VLOOKUP(O361,BulletType!A$1:F$35,5)</f>
        <v>8</v>
      </c>
      <c r="L361">
        <f>VLOOKUP(O361,BulletType!A$1:F$35,5)</f>
        <v>8</v>
      </c>
      <c r="M361">
        <f>VLOOKUP(O361,BulletType!A$1:F$35,6)</f>
        <v>4</v>
      </c>
      <c r="N361" s="3" t="str">
        <f>VLOOKUP(P361,BulletColor!A$2:B384,2)</f>
        <v>1,0.65,1</v>
      </c>
      <c r="O361">
        <v>11</v>
      </c>
      <c r="P361" s="2">
        <v>3</v>
      </c>
      <c r="Q361" s="2">
        <f t="shared" si="24"/>
        <v>1</v>
      </c>
    </row>
    <row r="362" spans="1:17" x14ac:dyDescent="0.2">
      <c r="A362" s="1">
        <f t="shared" si="22"/>
        <v>111040</v>
      </c>
      <c r="B362" s="3" t="str">
        <f>VLOOKUP(O362,BulletType!A$1:F$35,2)&amp;VLOOKUP(P362,BulletColor!A$1:C$25,3)</f>
        <v>星弹（小）紫</v>
      </c>
      <c r="C362" s="3" t="str">
        <f t="shared" si="23"/>
        <v>Bullet111040</v>
      </c>
      <c r="D362" s="2">
        <f>VLOOKUP(O362,BulletType!A$2:N410,9)</f>
        <v>0</v>
      </c>
      <c r="E362" s="2">
        <f>VLOOKUP(O362,BulletType!A$2:N410,10)</f>
        <v>0</v>
      </c>
      <c r="F362" s="3" t="str">
        <f>CONCATENATE(VLOOKUP(O362,BulletType!A$2:I$35,8),VLOOKUP(P362,BulletColor!A$2:D$16,4))</f>
        <v>Bullet200030</v>
      </c>
      <c r="G362" s="3" t="str">
        <f>VLOOKUP(O362,BulletType!A$1:G$35,7)</f>
        <v>2,0.5</v>
      </c>
      <c r="H362" s="2">
        <f t="shared" si="21"/>
        <v>0</v>
      </c>
      <c r="I362">
        <f>VLOOKUP(O362,BulletType!A$1:F$35,3)</f>
        <v>0</v>
      </c>
      <c r="J362">
        <f>VLOOKUP(O362,BulletType!A$1:F$35,4)</f>
        <v>3</v>
      </c>
      <c r="K362">
        <f>VLOOKUP(O362,BulletType!A$1:F$35,5)</f>
        <v>8</v>
      </c>
      <c r="L362">
        <f>VLOOKUP(O362,BulletType!A$1:F$35,5)</f>
        <v>8</v>
      </c>
      <c r="M362">
        <f>VLOOKUP(O362,BulletType!A$1:F$35,6)</f>
        <v>4</v>
      </c>
      <c r="N362" s="3" t="str">
        <f>VLOOKUP(P362,BulletColor!A$2:B385,2)</f>
        <v>1,0.65,1</v>
      </c>
      <c r="O362">
        <v>11</v>
      </c>
      <c r="P362" s="2">
        <v>4</v>
      </c>
      <c r="Q362" s="2">
        <f t="shared" si="24"/>
        <v>0</v>
      </c>
    </row>
    <row r="363" spans="1:17" x14ac:dyDescent="0.2">
      <c r="A363" s="1">
        <f t="shared" si="22"/>
        <v>111041</v>
      </c>
      <c r="B363" s="3" t="str">
        <f>VLOOKUP(O363,BulletType!A$1:F$35,2)&amp;VLOOKUP(P363,BulletColor!A$1:C$25,3)</f>
        <v>星弹（小）紫</v>
      </c>
      <c r="C363" s="3" t="str">
        <f t="shared" si="23"/>
        <v>Bullet111040</v>
      </c>
      <c r="D363" s="2">
        <f>VLOOKUP(O363,BulletType!A$2:N411,9)</f>
        <v>0</v>
      </c>
      <c r="E363" s="2">
        <f>VLOOKUP(O363,BulletType!A$2:N411,10)</f>
        <v>0</v>
      </c>
      <c r="F363" s="3" t="str">
        <f>CONCATENATE(VLOOKUP(O363,BulletType!A$2:I$35,8),VLOOKUP(P363,BulletColor!A$2:D$16,4))</f>
        <v>Bullet200030</v>
      </c>
      <c r="G363" s="3" t="str">
        <f>VLOOKUP(O363,BulletType!A$1:G$35,7)</f>
        <v>2,0.5</v>
      </c>
      <c r="H363" s="2">
        <f t="shared" si="21"/>
        <v>1</v>
      </c>
      <c r="I363">
        <f>VLOOKUP(O363,BulletType!A$1:F$35,3)</f>
        <v>0</v>
      </c>
      <c r="J363">
        <f>VLOOKUP(O363,BulletType!A$1:F$35,4)</f>
        <v>3</v>
      </c>
      <c r="K363">
        <f>VLOOKUP(O363,BulletType!A$1:F$35,5)</f>
        <v>8</v>
      </c>
      <c r="L363">
        <f>VLOOKUP(O363,BulletType!A$1:F$35,5)</f>
        <v>8</v>
      </c>
      <c r="M363">
        <f>VLOOKUP(O363,BulletType!A$1:F$35,6)</f>
        <v>4</v>
      </c>
      <c r="N363" s="3" t="str">
        <f>VLOOKUP(P363,BulletColor!A$2:B386,2)</f>
        <v>1,0.65,1</v>
      </c>
      <c r="O363">
        <v>11</v>
      </c>
      <c r="P363" s="2">
        <v>4</v>
      </c>
      <c r="Q363" s="2">
        <f t="shared" ref="Q363:Q426" si="25">MOD((ROW()-2),2)</f>
        <v>1</v>
      </c>
    </row>
    <row r="364" spans="1:17" x14ac:dyDescent="0.2">
      <c r="A364" s="1">
        <f t="shared" si="22"/>
        <v>111050</v>
      </c>
      <c r="B364" s="3" t="str">
        <f>VLOOKUP(O364,BulletType!A$1:F$35,2)&amp;VLOOKUP(P364,BulletColor!A$1:C$25,3)</f>
        <v>星弹（小）深蓝</v>
      </c>
      <c r="C364" s="3" t="str">
        <f t="shared" si="23"/>
        <v>Bullet111050</v>
      </c>
      <c r="D364" s="2">
        <f>VLOOKUP(O364,BulletType!A$2:N412,9)</f>
        <v>0</v>
      </c>
      <c r="E364" s="2">
        <f>VLOOKUP(O364,BulletType!A$2:N412,10)</f>
        <v>0</v>
      </c>
      <c r="F364" s="3" t="str">
        <f>CONCATENATE(VLOOKUP(O364,BulletType!A$2:I$35,8),VLOOKUP(P364,BulletColor!A$2:D$16,4))</f>
        <v>Bullet200050</v>
      </c>
      <c r="G364" s="3" t="str">
        <f>VLOOKUP(O364,BulletType!A$1:G$35,7)</f>
        <v>2,0.5</v>
      </c>
      <c r="H364" s="2">
        <f t="shared" si="21"/>
        <v>0</v>
      </c>
      <c r="I364">
        <f>VLOOKUP(O364,BulletType!A$1:F$35,3)</f>
        <v>0</v>
      </c>
      <c r="J364">
        <f>VLOOKUP(O364,BulletType!A$1:F$35,4)</f>
        <v>3</v>
      </c>
      <c r="K364">
        <f>VLOOKUP(O364,BulletType!A$1:F$35,5)</f>
        <v>8</v>
      </c>
      <c r="L364">
        <f>VLOOKUP(O364,BulletType!A$1:F$35,5)</f>
        <v>8</v>
      </c>
      <c r="M364">
        <f>VLOOKUP(O364,BulletType!A$1:F$35,6)</f>
        <v>4</v>
      </c>
      <c r="N364" s="3" t="str">
        <f>VLOOKUP(P364,BulletColor!A$2:B387,2)</f>
        <v>0,0.1,1</v>
      </c>
      <c r="O364">
        <v>11</v>
      </c>
      <c r="P364" s="2">
        <v>5</v>
      </c>
      <c r="Q364" s="2">
        <f t="shared" si="25"/>
        <v>0</v>
      </c>
    </row>
    <row r="365" spans="1:17" x14ac:dyDescent="0.2">
      <c r="A365" s="1">
        <f t="shared" si="22"/>
        <v>111051</v>
      </c>
      <c r="B365" s="3" t="str">
        <f>VLOOKUP(O365,BulletType!A$1:F$35,2)&amp;VLOOKUP(P365,BulletColor!A$1:C$25,3)</f>
        <v>星弹（小）深蓝</v>
      </c>
      <c r="C365" s="3" t="str">
        <f t="shared" si="23"/>
        <v>Bullet111050</v>
      </c>
      <c r="D365" s="2">
        <f>VLOOKUP(O365,BulletType!A$2:N413,9)</f>
        <v>0</v>
      </c>
      <c r="E365" s="2">
        <f>VLOOKUP(O365,BulletType!A$2:N413,10)</f>
        <v>0</v>
      </c>
      <c r="F365" s="3" t="str">
        <f>CONCATENATE(VLOOKUP(O365,BulletType!A$2:I$35,8),VLOOKUP(P365,BulletColor!A$2:D$16,4))</f>
        <v>Bullet200050</v>
      </c>
      <c r="G365" s="3" t="str">
        <f>VLOOKUP(O365,BulletType!A$1:G$35,7)</f>
        <v>2,0.5</v>
      </c>
      <c r="H365" s="2">
        <f t="shared" si="21"/>
        <v>1</v>
      </c>
      <c r="I365">
        <f>VLOOKUP(O365,BulletType!A$1:F$35,3)</f>
        <v>0</v>
      </c>
      <c r="J365">
        <f>VLOOKUP(O365,BulletType!A$1:F$35,4)</f>
        <v>3</v>
      </c>
      <c r="K365">
        <f>VLOOKUP(O365,BulletType!A$1:F$35,5)</f>
        <v>8</v>
      </c>
      <c r="L365">
        <f>VLOOKUP(O365,BulletType!A$1:F$35,5)</f>
        <v>8</v>
      </c>
      <c r="M365">
        <f>VLOOKUP(O365,BulletType!A$1:F$35,6)</f>
        <v>4</v>
      </c>
      <c r="N365" s="3" t="str">
        <f>VLOOKUP(P365,BulletColor!A$2:B388,2)</f>
        <v>0,0.1,1</v>
      </c>
      <c r="O365">
        <v>11</v>
      </c>
      <c r="P365" s="2">
        <v>5</v>
      </c>
      <c r="Q365" s="2">
        <f t="shared" si="25"/>
        <v>1</v>
      </c>
    </row>
    <row r="366" spans="1:17" x14ac:dyDescent="0.2">
      <c r="A366" s="1">
        <f t="shared" si="22"/>
        <v>111060</v>
      </c>
      <c r="B366" s="3" t="str">
        <f>VLOOKUP(O366,BulletType!A$1:F$35,2)&amp;VLOOKUP(P366,BulletColor!A$1:C$25,3)</f>
        <v>星弹（小）蓝</v>
      </c>
      <c r="C366" s="3" t="str">
        <f t="shared" si="23"/>
        <v>Bullet111060</v>
      </c>
      <c r="D366" s="2">
        <f>VLOOKUP(O366,BulletType!A$2:N414,9)</f>
        <v>0</v>
      </c>
      <c r="E366" s="2">
        <f>VLOOKUP(O366,BulletType!A$2:N414,10)</f>
        <v>0</v>
      </c>
      <c r="F366" s="3" t="str">
        <f>CONCATENATE(VLOOKUP(O366,BulletType!A$2:I$35,8),VLOOKUP(P366,BulletColor!A$2:D$16,4))</f>
        <v>Bullet200050</v>
      </c>
      <c r="G366" s="3" t="str">
        <f>VLOOKUP(O366,BulletType!A$1:G$35,7)</f>
        <v>2,0.5</v>
      </c>
      <c r="H366" s="2">
        <f t="shared" si="21"/>
        <v>0</v>
      </c>
      <c r="I366">
        <f>VLOOKUP(O366,BulletType!A$1:F$35,3)</f>
        <v>0</v>
      </c>
      <c r="J366">
        <f>VLOOKUP(O366,BulletType!A$1:F$35,4)</f>
        <v>3</v>
      </c>
      <c r="K366">
        <f>VLOOKUP(O366,BulletType!A$1:F$35,5)</f>
        <v>8</v>
      </c>
      <c r="L366">
        <f>VLOOKUP(O366,BulletType!A$1:F$35,5)</f>
        <v>8</v>
      </c>
      <c r="M366">
        <f>VLOOKUP(O366,BulletType!A$1:F$35,6)</f>
        <v>4</v>
      </c>
      <c r="N366" s="3" t="str">
        <f>VLOOKUP(P366,BulletColor!A$2:B389,2)</f>
        <v>0,0.1,1</v>
      </c>
      <c r="O366">
        <v>11</v>
      </c>
      <c r="P366" s="2">
        <v>6</v>
      </c>
      <c r="Q366" s="2">
        <f t="shared" si="25"/>
        <v>0</v>
      </c>
    </row>
    <row r="367" spans="1:17" x14ac:dyDescent="0.2">
      <c r="A367" s="1">
        <f t="shared" si="22"/>
        <v>111061</v>
      </c>
      <c r="B367" s="3" t="str">
        <f>VLOOKUP(O367,BulletType!A$1:F$35,2)&amp;VLOOKUP(P367,BulletColor!A$1:C$25,3)</f>
        <v>星弹（小）蓝</v>
      </c>
      <c r="C367" s="3" t="str">
        <f t="shared" si="23"/>
        <v>Bullet111060</v>
      </c>
      <c r="D367" s="2">
        <f>VLOOKUP(O367,BulletType!A$2:N415,9)</f>
        <v>0</v>
      </c>
      <c r="E367" s="2">
        <f>VLOOKUP(O367,BulletType!A$2:N415,10)</f>
        <v>0</v>
      </c>
      <c r="F367" s="3" t="str">
        <f>CONCATENATE(VLOOKUP(O367,BulletType!A$2:I$35,8),VLOOKUP(P367,BulletColor!A$2:D$16,4))</f>
        <v>Bullet200050</v>
      </c>
      <c r="G367" s="3" t="str">
        <f>VLOOKUP(O367,BulletType!A$1:G$35,7)</f>
        <v>2,0.5</v>
      </c>
      <c r="H367" s="2">
        <f t="shared" si="21"/>
        <v>1</v>
      </c>
      <c r="I367">
        <f>VLOOKUP(O367,BulletType!A$1:F$35,3)</f>
        <v>0</v>
      </c>
      <c r="J367">
        <f>VLOOKUP(O367,BulletType!A$1:F$35,4)</f>
        <v>3</v>
      </c>
      <c r="K367">
        <f>VLOOKUP(O367,BulletType!A$1:F$35,5)</f>
        <v>8</v>
      </c>
      <c r="L367">
        <f>VLOOKUP(O367,BulletType!A$1:F$35,5)</f>
        <v>8</v>
      </c>
      <c r="M367">
        <f>VLOOKUP(O367,BulletType!A$1:F$35,6)</f>
        <v>4</v>
      </c>
      <c r="N367" s="3" t="str">
        <f>VLOOKUP(P367,BulletColor!A$2:B390,2)</f>
        <v>0,0.1,1</v>
      </c>
      <c r="O367">
        <v>11</v>
      </c>
      <c r="P367" s="2">
        <v>6</v>
      </c>
      <c r="Q367" s="2">
        <f t="shared" si="25"/>
        <v>1</v>
      </c>
    </row>
    <row r="368" spans="1:17" x14ac:dyDescent="0.2">
      <c r="A368" s="1">
        <f t="shared" si="22"/>
        <v>111070</v>
      </c>
      <c r="B368" s="3" t="str">
        <f>VLOOKUP(O368,BulletType!A$1:F$35,2)&amp;VLOOKUP(P368,BulletColor!A$1:C$25,3)</f>
        <v>星弹（小）深青</v>
      </c>
      <c r="C368" s="3" t="str">
        <f t="shared" si="23"/>
        <v>Bullet111070</v>
      </c>
      <c r="D368" s="2">
        <f>VLOOKUP(O368,BulletType!A$2:N416,9)</f>
        <v>0</v>
      </c>
      <c r="E368" s="2">
        <f>VLOOKUP(O368,BulletType!A$2:N416,10)</f>
        <v>0</v>
      </c>
      <c r="F368" s="3" t="str">
        <f>CONCATENATE(VLOOKUP(O368,BulletType!A$2:I$35,8),VLOOKUP(P368,BulletColor!A$2:D$16,4))</f>
        <v>Bullet200070</v>
      </c>
      <c r="G368" s="3" t="str">
        <f>VLOOKUP(O368,BulletType!A$1:G$35,7)</f>
        <v>2,0.5</v>
      </c>
      <c r="H368" s="2">
        <f t="shared" si="21"/>
        <v>0</v>
      </c>
      <c r="I368">
        <f>VLOOKUP(O368,BulletType!A$1:F$35,3)</f>
        <v>0</v>
      </c>
      <c r="J368">
        <f>VLOOKUP(O368,BulletType!A$1:F$35,4)</f>
        <v>3</v>
      </c>
      <c r="K368">
        <f>VLOOKUP(O368,BulletType!A$1:F$35,5)</f>
        <v>8</v>
      </c>
      <c r="L368">
        <f>VLOOKUP(O368,BulletType!A$1:F$35,5)</f>
        <v>8</v>
      </c>
      <c r="M368">
        <f>VLOOKUP(O368,BulletType!A$1:F$35,6)</f>
        <v>4</v>
      </c>
      <c r="N368" s="3" t="str">
        <f>VLOOKUP(P368,BulletColor!A$2:B391,2)</f>
        <v>0.25,1,1</v>
      </c>
      <c r="O368">
        <v>11</v>
      </c>
      <c r="P368" s="2">
        <v>7</v>
      </c>
      <c r="Q368" s="2">
        <f t="shared" si="25"/>
        <v>0</v>
      </c>
    </row>
    <row r="369" spans="1:17" x14ac:dyDescent="0.2">
      <c r="A369" s="1">
        <f t="shared" si="22"/>
        <v>111071</v>
      </c>
      <c r="B369" s="3" t="str">
        <f>VLOOKUP(O369,BulletType!A$1:F$35,2)&amp;VLOOKUP(P369,BulletColor!A$1:C$25,3)</f>
        <v>星弹（小）深青</v>
      </c>
      <c r="C369" s="3" t="str">
        <f t="shared" si="23"/>
        <v>Bullet111070</v>
      </c>
      <c r="D369" s="2">
        <f>VLOOKUP(O369,BulletType!A$2:N417,9)</f>
        <v>0</v>
      </c>
      <c r="E369" s="2">
        <f>VLOOKUP(O369,BulletType!A$2:N417,10)</f>
        <v>0</v>
      </c>
      <c r="F369" s="3" t="str">
        <f>CONCATENATE(VLOOKUP(O369,BulletType!A$2:I$35,8),VLOOKUP(P369,BulletColor!A$2:D$16,4))</f>
        <v>Bullet200070</v>
      </c>
      <c r="G369" s="3" t="str">
        <f>VLOOKUP(O369,BulletType!A$1:G$35,7)</f>
        <v>2,0.5</v>
      </c>
      <c r="H369" s="2">
        <f t="shared" si="21"/>
        <v>1</v>
      </c>
      <c r="I369">
        <f>VLOOKUP(O369,BulletType!A$1:F$35,3)</f>
        <v>0</v>
      </c>
      <c r="J369">
        <f>VLOOKUP(O369,BulletType!A$1:F$35,4)</f>
        <v>3</v>
      </c>
      <c r="K369">
        <f>VLOOKUP(O369,BulletType!A$1:F$35,5)</f>
        <v>8</v>
      </c>
      <c r="L369">
        <f>VLOOKUP(O369,BulletType!A$1:F$35,5)</f>
        <v>8</v>
      </c>
      <c r="M369">
        <f>VLOOKUP(O369,BulletType!A$1:F$35,6)</f>
        <v>4</v>
      </c>
      <c r="N369" s="3" t="str">
        <f>VLOOKUP(P369,BulletColor!A$2:B392,2)</f>
        <v>0.25,1,1</v>
      </c>
      <c r="O369">
        <v>11</v>
      </c>
      <c r="P369" s="2">
        <v>7</v>
      </c>
      <c r="Q369" s="2">
        <f t="shared" si="25"/>
        <v>1</v>
      </c>
    </row>
    <row r="370" spans="1:17" x14ac:dyDescent="0.2">
      <c r="A370" s="1">
        <f t="shared" si="22"/>
        <v>111080</v>
      </c>
      <c r="B370" s="3" t="str">
        <f>VLOOKUP(O370,BulletType!A$1:F$35,2)&amp;VLOOKUP(P370,BulletColor!A$1:C$25,3)</f>
        <v>星弹（小）青</v>
      </c>
      <c r="C370" s="3" t="str">
        <f t="shared" si="23"/>
        <v>Bullet111080</v>
      </c>
      <c r="D370" s="2">
        <f>VLOOKUP(O370,BulletType!A$2:N418,9)</f>
        <v>0</v>
      </c>
      <c r="E370" s="2">
        <f>VLOOKUP(O370,BulletType!A$2:N418,10)</f>
        <v>0</v>
      </c>
      <c r="F370" s="3" t="str">
        <f>CONCATENATE(VLOOKUP(O370,BulletType!A$2:I$35,8),VLOOKUP(P370,BulletColor!A$2:D$16,4))</f>
        <v>Bullet200070</v>
      </c>
      <c r="G370" s="3" t="str">
        <f>VLOOKUP(O370,BulletType!A$1:G$35,7)</f>
        <v>2,0.5</v>
      </c>
      <c r="H370" s="2">
        <f t="shared" si="21"/>
        <v>0</v>
      </c>
      <c r="I370">
        <f>VLOOKUP(O370,BulletType!A$1:F$35,3)</f>
        <v>0</v>
      </c>
      <c r="J370">
        <f>VLOOKUP(O370,BulletType!A$1:F$35,4)</f>
        <v>3</v>
      </c>
      <c r="K370">
        <f>VLOOKUP(O370,BulletType!A$1:F$35,5)</f>
        <v>8</v>
      </c>
      <c r="L370">
        <f>VLOOKUP(O370,BulletType!A$1:F$35,5)</f>
        <v>8</v>
      </c>
      <c r="M370">
        <f>VLOOKUP(O370,BulletType!A$1:F$35,6)</f>
        <v>4</v>
      </c>
      <c r="N370" s="3" t="str">
        <f>VLOOKUP(P370,BulletColor!A$2:B393,2)</f>
        <v>0.25,1,1</v>
      </c>
      <c r="O370">
        <v>11</v>
      </c>
      <c r="P370" s="2">
        <v>8</v>
      </c>
      <c r="Q370" s="2">
        <f t="shared" si="25"/>
        <v>0</v>
      </c>
    </row>
    <row r="371" spans="1:17" x14ac:dyDescent="0.2">
      <c r="A371" s="1">
        <f t="shared" si="22"/>
        <v>111081</v>
      </c>
      <c r="B371" s="3" t="str">
        <f>VLOOKUP(O371,BulletType!A$1:F$35,2)&amp;VLOOKUP(P371,BulletColor!A$1:C$25,3)</f>
        <v>星弹（小）青</v>
      </c>
      <c r="C371" s="3" t="str">
        <f t="shared" si="23"/>
        <v>Bullet111080</v>
      </c>
      <c r="D371" s="2">
        <f>VLOOKUP(O371,BulletType!A$2:N419,9)</f>
        <v>0</v>
      </c>
      <c r="E371" s="2">
        <f>VLOOKUP(O371,BulletType!A$2:N419,10)</f>
        <v>0</v>
      </c>
      <c r="F371" s="3" t="str">
        <f>CONCATENATE(VLOOKUP(O371,BulletType!A$2:I$35,8),VLOOKUP(P371,BulletColor!A$2:D$16,4))</f>
        <v>Bullet200070</v>
      </c>
      <c r="G371" s="3" t="str">
        <f>VLOOKUP(O371,BulletType!A$1:G$35,7)</f>
        <v>2,0.5</v>
      </c>
      <c r="H371" s="2">
        <f t="shared" si="21"/>
        <v>1</v>
      </c>
      <c r="I371">
        <f>VLOOKUP(O371,BulletType!A$1:F$35,3)</f>
        <v>0</v>
      </c>
      <c r="J371">
        <f>VLOOKUP(O371,BulletType!A$1:F$35,4)</f>
        <v>3</v>
      </c>
      <c r="K371">
        <f>VLOOKUP(O371,BulletType!A$1:F$35,5)</f>
        <v>8</v>
      </c>
      <c r="L371">
        <f>VLOOKUP(O371,BulletType!A$1:F$35,5)</f>
        <v>8</v>
      </c>
      <c r="M371">
        <f>VLOOKUP(O371,BulletType!A$1:F$35,6)</f>
        <v>4</v>
      </c>
      <c r="N371" s="3" t="str">
        <f>VLOOKUP(P371,BulletColor!A$2:B394,2)</f>
        <v>0.25,1,1</v>
      </c>
      <c r="O371">
        <v>11</v>
      </c>
      <c r="P371" s="2">
        <v>8</v>
      </c>
      <c r="Q371" s="2">
        <f t="shared" si="25"/>
        <v>1</v>
      </c>
    </row>
    <row r="372" spans="1:17" x14ac:dyDescent="0.2">
      <c r="A372" s="1">
        <f t="shared" si="22"/>
        <v>111090</v>
      </c>
      <c r="B372" s="3" t="str">
        <f>VLOOKUP(O372,BulletType!A$1:F$35,2)&amp;VLOOKUP(P372,BulletColor!A$1:C$25,3)</f>
        <v>星弹（小）深绿</v>
      </c>
      <c r="C372" s="3" t="str">
        <f t="shared" si="23"/>
        <v>Bullet111090</v>
      </c>
      <c r="D372" s="2">
        <f>VLOOKUP(O372,BulletType!A$2:N420,9)</f>
        <v>0</v>
      </c>
      <c r="E372" s="2">
        <f>VLOOKUP(O372,BulletType!A$2:N420,10)</f>
        <v>0</v>
      </c>
      <c r="F372" s="3" t="str">
        <f>CONCATENATE(VLOOKUP(O372,BulletType!A$2:I$35,8),VLOOKUP(P372,BulletColor!A$2:D$16,4))</f>
        <v>Bullet200090</v>
      </c>
      <c r="G372" s="3" t="str">
        <f>VLOOKUP(O372,BulletType!A$1:G$35,7)</f>
        <v>2,0.5</v>
      </c>
      <c r="H372" s="2">
        <f t="shared" si="21"/>
        <v>0</v>
      </c>
      <c r="I372">
        <f>VLOOKUP(O372,BulletType!A$1:F$35,3)</f>
        <v>0</v>
      </c>
      <c r="J372">
        <f>VLOOKUP(O372,BulletType!A$1:F$35,4)</f>
        <v>3</v>
      </c>
      <c r="K372">
        <f>VLOOKUP(O372,BulletType!A$1:F$35,5)</f>
        <v>8</v>
      </c>
      <c r="L372">
        <f>VLOOKUP(O372,BulletType!A$1:F$35,5)</f>
        <v>8</v>
      </c>
      <c r="M372">
        <f>VLOOKUP(O372,BulletType!A$1:F$35,6)</f>
        <v>4</v>
      </c>
      <c r="N372" s="3" t="str">
        <f>VLOOKUP(P372,BulletColor!A$2:B395,2)</f>
        <v>0.36,0.78,1</v>
      </c>
      <c r="O372">
        <v>11</v>
      </c>
      <c r="P372" s="2">
        <v>9</v>
      </c>
      <c r="Q372" s="2">
        <f t="shared" si="25"/>
        <v>0</v>
      </c>
    </row>
    <row r="373" spans="1:17" x14ac:dyDescent="0.2">
      <c r="A373" s="1">
        <f t="shared" si="22"/>
        <v>111091</v>
      </c>
      <c r="B373" s="3" t="str">
        <f>VLOOKUP(O373,BulletType!A$1:F$35,2)&amp;VLOOKUP(P373,BulletColor!A$1:C$25,3)</f>
        <v>星弹（小）深绿</v>
      </c>
      <c r="C373" s="3" t="str">
        <f t="shared" si="23"/>
        <v>Bullet111090</v>
      </c>
      <c r="D373" s="2">
        <f>VLOOKUP(O373,BulletType!A$2:N421,9)</f>
        <v>0</v>
      </c>
      <c r="E373" s="2">
        <f>VLOOKUP(O373,BulletType!A$2:N421,10)</f>
        <v>0</v>
      </c>
      <c r="F373" s="3" t="str">
        <f>CONCATENATE(VLOOKUP(O373,BulletType!A$2:I$35,8),VLOOKUP(P373,BulletColor!A$2:D$16,4))</f>
        <v>Bullet200090</v>
      </c>
      <c r="G373" s="3" t="str">
        <f>VLOOKUP(O373,BulletType!A$1:G$35,7)</f>
        <v>2,0.5</v>
      </c>
      <c r="H373" s="2">
        <f t="shared" si="21"/>
        <v>1</v>
      </c>
      <c r="I373">
        <f>VLOOKUP(O373,BulletType!A$1:F$35,3)</f>
        <v>0</v>
      </c>
      <c r="J373">
        <f>VLOOKUP(O373,BulletType!A$1:F$35,4)</f>
        <v>3</v>
      </c>
      <c r="K373">
        <f>VLOOKUP(O373,BulletType!A$1:F$35,5)</f>
        <v>8</v>
      </c>
      <c r="L373">
        <f>VLOOKUP(O373,BulletType!A$1:F$35,5)</f>
        <v>8</v>
      </c>
      <c r="M373">
        <f>VLOOKUP(O373,BulletType!A$1:F$35,6)</f>
        <v>4</v>
      </c>
      <c r="N373" s="3" t="str">
        <f>VLOOKUP(P373,BulletColor!A$2:B396,2)</f>
        <v>0.36,0.78,1</v>
      </c>
      <c r="O373">
        <v>11</v>
      </c>
      <c r="P373" s="2">
        <v>9</v>
      </c>
      <c r="Q373" s="2">
        <f t="shared" si="25"/>
        <v>1</v>
      </c>
    </row>
    <row r="374" spans="1:17" x14ac:dyDescent="0.2">
      <c r="A374" s="1">
        <f t="shared" si="22"/>
        <v>111100</v>
      </c>
      <c r="B374" s="3" t="str">
        <f>VLOOKUP(O374,BulletType!A$1:F$35,2)&amp;VLOOKUP(P374,BulletColor!A$1:C$25,3)</f>
        <v>星弹（小）绿</v>
      </c>
      <c r="C374" s="3" t="str">
        <f t="shared" si="23"/>
        <v>Bullet111100</v>
      </c>
      <c r="D374" s="2">
        <f>VLOOKUP(O374,BulletType!A$2:N422,9)</f>
        <v>0</v>
      </c>
      <c r="E374" s="2">
        <f>VLOOKUP(O374,BulletType!A$2:N422,10)</f>
        <v>0</v>
      </c>
      <c r="F374" s="3" t="str">
        <f>CONCATENATE(VLOOKUP(O374,BulletType!A$2:I$35,8),VLOOKUP(P374,BulletColor!A$2:D$16,4))</f>
        <v>Bullet200090</v>
      </c>
      <c r="G374" s="3" t="str">
        <f>VLOOKUP(O374,BulletType!A$1:G$35,7)</f>
        <v>2,0.5</v>
      </c>
      <c r="H374" s="2">
        <f t="shared" si="21"/>
        <v>0</v>
      </c>
      <c r="I374">
        <f>VLOOKUP(O374,BulletType!A$1:F$35,3)</f>
        <v>0</v>
      </c>
      <c r="J374">
        <f>VLOOKUP(O374,BulletType!A$1:F$35,4)</f>
        <v>3</v>
      </c>
      <c r="K374">
        <f>VLOOKUP(O374,BulletType!A$1:F$35,5)</f>
        <v>8</v>
      </c>
      <c r="L374">
        <f>VLOOKUP(O374,BulletType!A$1:F$35,5)</f>
        <v>8</v>
      </c>
      <c r="M374">
        <f>VLOOKUP(O374,BulletType!A$1:F$35,6)</f>
        <v>4</v>
      </c>
      <c r="N374" s="3" t="str">
        <f>VLOOKUP(P374,BulletColor!A$2:B397,2)</f>
        <v>0.36,0.78,1</v>
      </c>
      <c r="O374">
        <v>11</v>
      </c>
      <c r="P374" s="2">
        <v>10</v>
      </c>
      <c r="Q374" s="2">
        <f t="shared" si="25"/>
        <v>0</v>
      </c>
    </row>
    <row r="375" spans="1:17" x14ac:dyDescent="0.2">
      <c r="A375" s="1">
        <f t="shared" si="22"/>
        <v>111101</v>
      </c>
      <c r="B375" s="3" t="str">
        <f>VLOOKUP(O375,BulletType!A$1:F$35,2)&amp;VLOOKUP(P375,BulletColor!A$1:C$25,3)</f>
        <v>星弹（小）绿</v>
      </c>
      <c r="C375" s="3" t="str">
        <f t="shared" si="23"/>
        <v>Bullet111100</v>
      </c>
      <c r="D375" s="2">
        <f>VLOOKUP(O375,BulletType!A$2:N423,9)</f>
        <v>0</v>
      </c>
      <c r="E375" s="2">
        <f>VLOOKUP(O375,BulletType!A$2:N423,10)</f>
        <v>0</v>
      </c>
      <c r="F375" s="3" t="str">
        <f>CONCATENATE(VLOOKUP(O375,BulletType!A$2:I$35,8),VLOOKUP(P375,BulletColor!A$2:D$16,4))</f>
        <v>Bullet200090</v>
      </c>
      <c r="G375" s="3" t="str">
        <f>VLOOKUP(O375,BulletType!A$1:G$35,7)</f>
        <v>2,0.5</v>
      </c>
      <c r="H375" s="2">
        <f t="shared" si="21"/>
        <v>1</v>
      </c>
      <c r="I375">
        <f>VLOOKUP(O375,BulletType!A$1:F$35,3)</f>
        <v>0</v>
      </c>
      <c r="J375">
        <f>VLOOKUP(O375,BulletType!A$1:F$35,4)</f>
        <v>3</v>
      </c>
      <c r="K375">
        <f>VLOOKUP(O375,BulletType!A$1:F$35,5)</f>
        <v>8</v>
      </c>
      <c r="L375">
        <f>VLOOKUP(O375,BulletType!A$1:F$35,5)</f>
        <v>8</v>
      </c>
      <c r="M375">
        <f>VLOOKUP(O375,BulletType!A$1:F$35,6)</f>
        <v>4</v>
      </c>
      <c r="N375" s="3" t="str">
        <f>VLOOKUP(P375,BulletColor!A$2:B398,2)</f>
        <v>0.36,0.78,1</v>
      </c>
      <c r="O375">
        <v>11</v>
      </c>
      <c r="P375" s="2">
        <v>10</v>
      </c>
      <c r="Q375" s="2">
        <f t="shared" si="25"/>
        <v>1</v>
      </c>
    </row>
    <row r="376" spans="1:17" x14ac:dyDescent="0.2">
      <c r="A376" s="1">
        <f t="shared" si="22"/>
        <v>111110</v>
      </c>
      <c r="B376" s="3" t="str">
        <f>VLOOKUP(O376,BulletType!A$1:F$35,2)&amp;VLOOKUP(P376,BulletColor!A$1:C$25,3)</f>
        <v>星弹（小）黄绿</v>
      </c>
      <c r="C376" s="3" t="str">
        <f t="shared" si="23"/>
        <v>Bullet111110</v>
      </c>
      <c r="D376" s="2">
        <f>VLOOKUP(O376,BulletType!A$2:N424,9)</f>
        <v>0</v>
      </c>
      <c r="E376" s="2">
        <f>VLOOKUP(O376,BulletType!A$2:N424,10)</f>
        <v>0</v>
      </c>
      <c r="F376" s="3" t="str">
        <f>CONCATENATE(VLOOKUP(O376,BulletType!A$2:I$35,8),VLOOKUP(P376,BulletColor!A$2:D$16,4))</f>
        <v>Bullet200090</v>
      </c>
      <c r="G376" s="3" t="str">
        <f>VLOOKUP(O376,BulletType!A$1:G$35,7)</f>
        <v>2,0.5</v>
      </c>
      <c r="H376" s="2">
        <f t="shared" si="21"/>
        <v>0</v>
      </c>
      <c r="I376">
        <f>VLOOKUP(O376,BulletType!A$1:F$35,3)</f>
        <v>0</v>
      </c>
      <c r="J376">
        <f>VLOOKUP(O376,BulletType!A$1:F$35,4)</f>
        <v>3</v>
      </c>
      <c r="K376">
        <f>VLOOKUP(O376,BulletType!A$1:F$35,5)</f>
        <v>8</v>
      </c>
      <c r="L376">
        <f>VLOOKUP(O376,BulletType!A$1:F$35,5)</f>
        <v>8</v>
      </c>
      <c r="M376">
        <f>VLOOKUP(O376,BulletType!A$1:F$35,6)</f>
        <v>4</v>
      </c>
      <c r="N376" s="3" t="str">
        <f>VLOOKUP(P376,BulletColor!A$2:B399,2)</f>
        <v>0.9,1,0.4</v>
      </c>
      <c r="O376">
        <v>11</v>
      </c>
      <c r="P376" s="2">
        <v>11</v>
      </c>
      <c r="Q376" s="2">
        <f t="shared" si="25"/>
        <v>0</v>
      </c>
    </row>
    <row r="377" spans="1:17" x14ac:dyDescent="0.2">
      <c r="A377" s="1">
        <f t="shared" si="22"/>
        <v>111111</v>
      </c>
      <c r="B377" s="3" t="str">
        <f>VLOOKUP(O377,BulletType!A$1:F$35,2)&amp;VLOOKUP(P377,BulletColor!A$1:C$25,3)</f>
        <v>星弹（小）黄绿</v>
      </c>
      <c r="C377" s="3" t="str">
        <f t="shared" si="23"/>
        <v>Bullet111110</v>
      </c>
      <c r="D377" s="2">
        <f>VLOOKUP(O377,BulletType!A$2:N425,9)</f>
        <v>0</v>
      </c>
      <c r="E377" s="2">
        <f>VLOOKUP(O377,BulletType!A$2:N425,10)</f>
        <v>0</v>
      </c>
      <c r="F377" s="3" t="str">
        <f>CONCATENATE(VLOOKUP(O377,BulletType!A$2:I$35,8),VLOOKUP(P377,BulletColor!A$2:D$16,4))</f>
        <v>Bullet200090</v>
      </c>
      <c r="G377" s="3" t="str">
        <f>VLOOKUP(O377,BulletType!A$1:G$35,7)</f>
        <v>2,0.5</v>
      </c>
      <c r="H377" s="2">
        <f t="shared" si="21"/>
        <v>1</v>
      </c>
      <c r="I377">
        <f>VLOOKUP(O377,BulletType!A$1:F$35,3)</f>
        <v>0</v>
      </c>
      <c r="J377">
        <f>VLOOKUP(O377,BulletType!A$1:F$35,4)</f>
        <v>3</v>
      </c>
      <c r="K377">
        <f>VLOOKUP(O377,BulletType!A$1:F$35,5)</f>
        <v>8</v>
      </c>
      <c r="L377">
        <f>VLOOKUP(O377,BulletType!A$1:F$35,5)</f>
        <v>8</v>
      </c>
      <c r="M377">
        <f>VLOOKUP(O377,BulletType!A$1:F$35,6)</f>
        <v>4</v>
      </c>
      <c r="N377" s="3" t="str">
        <f>VLOOKUP(P377,BulletColor!A$2:B400,2)</f>
        <v>0.9,1,0.4</v>
      </c>
      <c r="O377">
        <v>11</v>
      </c>
      <c r="P377" s="2">
        <v>11</v>
      </c>
      <c r="Q377" s="2">
        <f t="shared" si="25"/>
        <v>1</v>
      </c>
    </row>
    <row r="378" spans="1:17" x14ac:dyDescent="0.2">
      <c r="A378" s="1">
        <f t="shared" si="22"/>
        <v>111120</v>
      </c>
      <c r="B378" s="3" t="str">
        <f>VLOOKUP(O378,BulletType!A$1:F$35,2)&amp;VLOOKUP(P378,BulletColor!A$1:C$25,3)</f>
        <v>星弹（小）深黄</v>
      </c>
      <c r="C378" s="3" t="str">
        <f t="shared" si="23"/>
        <v>Bullet111120</v>
      </c>
      <c r="D378" s="2">
        <f>VLOOKUP(O378,BulletType!A$2:N426,9)</f>
        <v>0</v>
      </c>
      <c r="E378" s="2">
        <f>VLOOKUP(O378,BulletType!A$2:N426,10)</f>
        <v>0</v>
      </c>
      <c r="F378" s="3" t="str">
        <f>CONCATENATE(VLOOKUP(O378,BulletType!A$2:I$35,8),VLOOKUP(P378,BulletColor!A$2:D$16,4))</f>
        <v>Bullet200090</v>
      </c>
      <c r="G378" s="3" t="str">
        <f>VLOOKUP(O378,BulletType!A$1:G$35,7)</f>
        <v>2,0.5</v>
      </c>
      <c r="H378" s="2">
        <f t="shared" si="21"/>
        <v>0</v>
      </c>
      <c r="I378">
        <f>VLOOKUP(O378,BulletType!A$1:F$35,3)</f>
        <v>0</v>
      </c>
      <c r="J378">
        <f>VLOOKUP(O378,BulletType!A$1:F$35,4)</f>
        <v>3</v>
      </c>
      <c r="K378">
        <f>VLOOKUP(O378,BulletType!A$1:F$35,5)</f>
        <v>8</v>
      </c>
      <c r="L378">
        <f>VLOOKUP(O378,BulletType!A$1:F$35,5)</f>
        <v>8</v>
      </c>
      <c r="M378">
        <f>VLOOKUP(O378,BulletType!A$1:F$35,6)</f>
        <v>4</v>
      </c>
      <c r="N378" s="3" t="str">
        <f>VLOOKUP(P378,BulletColor!A$2:B401,2)</f>
        <v>0.9,1,0.4</v>
      </c>
      <c r="O378">
        <v>11</v>
      </c>
      <c r="P378" s="2">
        <v>12</v>
      </c>
      <c r="Q378" s="2">
        <f t="shared" si="25"/>
        <v>0</v>
      </c>
    </row>
    <row r="379" spans="1:17" x14ac:dyDescent="0.2">
      <c r="A379" s="1">
        <f t="shared" si="22"/>
        <v>111121</v>
      </c>
      <c r="B379" s="3" t="str">
        <f>VLOOKUP(O379,BulletType!A$1:F$35,2)&amp;VLOOKUP(P379,BulletColor!A$1:C$25,3)</f>
        <v>星弹（小）深黄</v>
      </c>
      <c r="C379" s="3" t="str">
        <f t="shared" si="23"/>
        <v>Bullet111120</v>
      </c>
      <c r="D379" s="2">
        <f>VLOOKUP(O379,BulletType!A$2:N427,9)</f>
        <v>0</v>
      </c>
      <c r="E379" s="2">
        <f>VLOOKUP(O379,BulletType!A$2:N427,10)</f>
        <v>0</v>
      </c>
      <c r="F379" s="3" t="str">
        <f>CONCATENATE(VLOOKUP(O379,BulletType!A$2:I$35,8),VLOOKUP(P379,BulletColor!A$2:D$16,4))</f>
        <v>Bullet200090</v>
      </c>
      <c r="G379" s="3" t="str">
        <f>VLOOKUP(O379,BulletType!A$1:G$35,7)</f>
        <v>2,0.5</v>
      </c>
      <c r="H379" s="2">
        <f t="shared" si="21"/>
        <v>1</v>
      </c>
      <c r="I379">
        <f>VLOOKUP(O379,BulletType!A$1:F$35,3)</f>
        <v>0</v>
      </c>
      <c r="J379">
        <f>VLOOKUP(O379,BulletType!A$1:F$35,4)</f>
        <v>3</v>
      </c>
      <c r="K379">
        <f>VLOOKUP(O379,BulletType!A$1:F$35,5)</f>
        <v>8</v>
      </c>
      <c r="L379">
        <f>VLOOKUP(O379,BulletType!A$1:F$35,5)</f>
        <v>8</v>
      </c>
      <c r="M379">
        <f>VLOOKUP(O379,BulletType!A$1:F$35,6)</f>
        <v>4</v>
      </c>
      <c r="N379" s="3" t="str">
        <f>VLOOKUP(P379,BulletColor!A$2:B402,2)</f>
        <v>0.9,1,0.4</v>
      </c>
      <c r="O379">
        <v>11</v>
      </c>
      <c r="P379" s="2">
        <v>12</v>
      </c>
      <c r="Q379" s="2">
        <f t="shared" si="25"/>
        <v>1</v>
      </c>
    </row>
    <row r="380" spans="1:17" x14ac:dyDescent="0.2">
      <c r="A380" s="1">
        <f t="shared" si="22"/>
        <v>111130</v>
      </c>
      <c r="B380" s="3" t="str">
        <f>VLOOKUP(O380,BulletType!A$1:F$35,2)&amp;VLOOKUP(P380,BulletColor!A$1:C$25,3)</f>
        <v>星弹（小）浅黄</v>
      </c>
      <c r="C380" s="3" t="str">
        <f t="shared" si="23"/>
        <v>Bullet111130</v>
      </c>
      <c r="D380" s="2">
        <f>VLOOKUP(O380,BulletType!A$2:N428,9)</f>
        <v>0</v>
      </c>
      <c r="E380" s="2">
        <f>VLOOKUP(O380,BulletType!A$2:N428,10)</f>
        <v>0</v>
      </c>
      <c r="F380" s="3" t="str">
        <f>CONCATENATE(VLOOKUP(O380,BulletType!A$2:I$35,8),VLOOKUP(P380,BulletColor!A$2:D$16,4))</f>
        <v>Bullet200130</v>
      </c>
      <c r="G380" s="3" t="str">
        <f>VLOOKUP(O380,BulletType!A$1:G$35,7)</f>
        <v>2,0.5</v>
      </c>
      <c r="H380" s="2">
        <f t="shared" si="21"/>
        <v>0</v>
      </c>
      <c r="I380">
        <f>VLOOKUP(O380,BulletType!A$1:F$35,3)</f>
        <v>0</v>
      </c>
      <c r="J380">
        <f>VLOOKUP(O380,BulletType!A$1:F$35,4)</f>
        <v>3</v>
      </c>
      <c r="K380">
        <f>VLOOKUP(O380,BulletType!A$1:F$35,5)</f>
        <v>8</v>
      </c>
      <c r="L380">
        <f>VLOOKUP(O380,BulletType!A$1:F$35,5)</f>
        <v>8</v>
      </c>
      <c r="M380">
        <f>VLOOKUP(O380,BulletType!A$1:F$35,6)</f>
        <v>4</v>
      </c>
      <c r="N380" s="3" t="str">
        <f>VLOOKUP(P380,BulletColor!A$2:B403,2)</f>
        <v>0.9,1,0.4</v>
      </c>
      <c r="O380">
        <v>11</v>
      </c>
      <c r="P380" s="2">
        <v>13</v>
      </c>
      <c r="Q380" s="2">
        <f t="shared" si="25"/>
        <v>0</v>
      </c>
    </row>
    <row r="381" spans="1:17" x14ac:dyDescent="0.2">
      <c r="A381" s="1">
        <f t="shared" si="22"/>
        <v>111131</v>
      </c>
      <c r="B381" s="3" t="str">
        <f>VLOOKUP(O381,BulletType!A$1:F$35,2)&amp;VLOOKUP(P381,BulletColor!A$1:C$25,3)</f>
        <v>星弹（小）浅黄</v>
      </c>
      <c r="C381" s="3" t="str">
        <f t="shared" si="23"/>
        <v>Bullet111130</v>
      </c>
      <c r="D381" s="2">
        <f>VLOOKUP(O381,BulletType!A$2:N429,9)</f>
        <v>0</v>
      </c>
      <c r="E381" s="2">
        <f>VLOOKUP(O381,BulletType!A$2:N429,10)</f>
        <v>0</v>
      </c>
      <c r="F381" s="3" t="str">
        <f>CONCATENATE(VLOOKUP(O381,BulletType!A$2:I$35,8),VLOOKUP(P381,BulletColor!A$2:D$16,4))</f>
        <v>Bullet200130</v>
      </c>
      <c r="G381" s="3" t="str">
        <f>VLOOKUP(O381,BulletType!A$1:G$35,7)</f>
        <v>2,0.5</v>
      </c>
      <c r="H381" s="2">
        <f t="shared" si="21"/>
        <v>1</v>
      </c>
      <c r="I381">
        <f>VLOOKUP(O381,BulletType!A$1:F$35,3)</f>
        <v>0</v>
      </c>
      <c r="J381">
        <f>VLOOKUP(O381,BulletType!A$1:F$35,4)</f>
        <v>3</v>
      </c>
      <c r="K381">
        <f>VLOOKUP(O381,BulletType!A$1:F$35,5)</f>
        <v>8</v>
      </c>
      <c r="L381">
        <f>VLOOKUP(O381,BulletType!A$1:F$35,5)</f>
        <v>8</v>
      </c>
      <c r="M381">
        <f>VLOOKUP(O381,BulletType!A$1:F$35,6)</f>
        <v>4</v>
      </c>
      <c r="N381" s="3" t="str">
        <f>VLOOKUP(P381,BulletColor!A$2:B404,2)</f>
        <v>0.9,1,0.4</v>
      </c>
      <c r="O381">
        <v>11</v>
      </c>
      <c r="P381" s="2">
        <v>13</v>
      </c>
      <c r="Q381" s="2">
        <f t="shared" si="25"/>
        <v>1</v>
      </c>
    </row>
    <row r="382" spans="1:17" x14ac:dyDescent="0.2">
      <c r="A382" s="1">
        <f t="shared" si="22"/>
        <v>111140</v>
      </c>
      <c r="B382" s="3" t="str">
        <f>VLOOKUP(O382,BulletType!A$1:F$35,2)&amp;VLOOKUP(P382,BulletColor!A$1:C$25,3)</f>
        <v>星弹（小）棕黄</v>
      </c>
      <c r="C382" s="3" t="str">
        <f t="shared" si="23"/>
        <v>Bullet111140</v>
      </c>
      <c r="D382" s="2">
        <f>VLOOKUP(O382,BulletType!A$2:N430,9)</f>
        <v>0</v>
      </c>
      <c r="E382" s="2">
        <f>VLOOKUP(O382,BulletType!A$2:N430,10)</f>
        <v>0</v>
      </c>
      <c r="F382" s="3" t="str">
        <f>CONCATENATE(VLOOKUP(O382,BulletType!A$2:I$35,8),VLOOKUP(P382,BulletColor!A$2:D$16,4))</f>
        <v>Bullet200130</v>
      </c>
      <c r="G382" s="3" t="str">
        <f>VLOOKUP(O382,BulletType!A$1:G$35,7)</f>
        <v>2,0.5</v>
      </c>
      <c r="H382" s="2">
        <f t="shared" si="21"/>
        <v>0</v>
      </c>
      <c r="I382">
        <f>VLOOKUP(O382,BulletType!A$1:F$35,3)</f>
        <v>0</v>
      </c>
      <c r="J382">
        <f>VLOOKUP(O382,BulletType!A$1:F$35,4)</f>
        <v>3</v>
      </c>
      <c r="K382">
        <f>VLOOKUP(O382,BulletType!A$1:F$35,5)</f>
        <v>8</v>
      </c>
      <c r="L382">
        <f>VLOOKUP(O382,BulletType!A$1:F$35,5)</f>
        <v>8</v>
      </c>
      <c r="M382">
        <f>VLOOKUP(O382,BulletType!A$1:F$35,6)</f>
        <v>4</v>
      </c>
      <c r="N382" s="3" t="str">
        <f>VLOOKUP(P382,BulletColor!A$2:B405,2)</f>
        <v>0.9,1,0.4</v>
      </c>
      <c r="O382">
        <v>11</v>
      </c>
      <c r="P382" s="2">
        <v>14</v>
      </c>
      <c r="Q382" s="2">
        <f t="shared" si="25"/>
        <v>0</v>
      </c>
    </row>
    <row r="383" spans="1:17" x14ac:dyDescent="0.2">
      <c r="A383" s="1">
        <f t="shared" si="22"/>
        <v>111141</v>
      </c>
      <c r="B383" s="3" t="str">
        <f>VLOOKUP(O383,BulletType!A$1:F$35,2)&amp;VLOOKUP(P383,BulletColor!A$1:C$25,3)</f>
        <v>星弹（小）棕黄</v>
      </c>
      <c r="C383" s="3" t="str">
        <f t="shared" si="23"/>
        <v>Bullet111140</v>
      </c>
      <c r="D383" s="2">
        <f>VLOOKUP(O383,BulletType!A$2:N431,9)</f>
        <v>0</v>
      </c>
      <c r="E383" s="2">
        <f>VLOOKUP(O383,BulletType!A$2:N431,10)</f>
        <v>0</v>
      </c>
      <c r="F383" s="3" t="str">
        <f>CONCATENATE(VLOOKUP(O383,BulletType!A$2:I$35,8),VLOOKUP(P383,BulletColor!A$2:D$16,4))</f>
        <v>Bullet200130</v>
      </c>
      <c r="G383" s="3" t="str">
        <f>VLOOKUP(O383,BulletType!A$1:G$35,7)</f>
        <v>2,0.5</v>
      </c>
      <c r="H383" s="2">
        <f t="shared" si="21"/>
        <v>1</v>
      </c>
      <c r="I383">
        <f>VLOOKUP(O383,BulletType!A$1:F$35,3)</f>
        <v>0</v>
      </c>
      <c r="J383">
        <f>VLOOKUP(O383,BulletType!A$1:F$35,4)</f>
        <v>3</v>
      </c>
      <c r="K383">
        <f>VLOOKUP(O383,BulletType!A$1:F$35,5)</f>
        <v>8</v>
      </c>
      <c r="L383">
        <f>VLOOKUP(O383,BulletType!A$1:F$35,5)</f>
        <v>8</v>
      </c>
      <c r="M383">
        <f>VLOOKUP(O383,BulletType!A$1:F$35,6)</f>
        <v>4</v>
      </c>
      <c r="N383" s="3" t="str">
        <f>VLOOKUP(P383,BulletColor!A$2:B406,2)</f>
        <v>0.9,1,0.4</v>
      </c>
      <c r="O383">
        <v>11</v>
      </c>
      <c r="P383" s="2">
        <v>14</v>
      </c>
      <c r="Q383" s="2">
        <f t="shared" si="25"/>
        <v>1</v>
      </c>
    </row>
    <row r="384" spans="1:17" x14ac:dyDescent="0.2">
      <c r="A384" s="1">
        <f t="shared" si="22"/>
        <v>111150</v>
      </c>
      <c r="B384" s="3" t="str">
        <f>VLOOKUP(O384,BulletType!A$1:F$35,2)&amp;VLOOKUP(P384,BulletColor!A$1:C$25,3)</f>
        <v>星弹（小）白</v>
      </c>
      <c r="C384" s="3" t="str">
        <f t="shared" si="23"/>
        <v>Bullet111150</v>
      </c>
      <c r="D384" s="2">
        <f>VLOOKUP(O384,BulletType!A$2:N432,9)</f>
        <v>0</v>
      </c>
      <c r="E384" s="2">
        <f>VLOOKUP(O384,BulletType!A$2:N432,10)</f>
        <v>0</v>
      </c>
      <c r="F384" s="3" t="str">
        <f>CONCATENATE(VLOOKUP(O384,BulletType!A$2:I$35,8),VLOOKUP(P384,BulletColor!A$2:D$16,4))</f>
        <v>Bullet200130</v>
      </c>
      <c r="G384" s="3" t="str">
        <f>VLOOKUP(O384,BulletType!A$1:G$35,7)</f>
        <v>2,0.5</v>
      </c>
      <c r="H384" s="2">
        <f t="shared" si="21"/>
        <v>0</v>
      </c>
      <c r="I384">
        <f>VLOOKUP(O384,BulletType!A$1:F$35,3)</f>
        <v>0</v>
      </c>
      <c r="J384">
        <f>VLOOKUP(O384,BulletType!A$1:F$35,4)</f>
        <v>3</v>
      </c>
      <c r="K384">
        <f>VLOOKUP(O384,BulletType!A$1:F$35,5)</f>
        <v>8</v>
      </c>
      <c r="L384">
        <f>VLOOKUP(O384,BulletType!A$1:F$35,5)</f>
        <v>8</v>
      </c>
      <c r="M384">
        <f>VLOOKUP(O384,BulletType!A$1:F$35,6)</f>
        <v>4</v>
      </c>
      <c r="N384" s="3" t="str">
        <f>VLOOKUP(P384,BulletColor!A$2:B407,2)</f>
        <v>0.8,0.8,0.8</v>
      </c>
      <c r="O384">
        <v>11</v>
      </c>
      <c r="P384" s="2">
        <v>15</v>
      </c>
      <c r="Q384" s="2">
        <f t="shared" si="25"/>
        <v>0</v>
      </c>
    </row>
    <row r="385" spans="1:17" x14ac:dyDescent="0.2">
      <c r="A385" s="1">
        <f t="shared" si="22"/>
        <v>111151</v>
      </c>
      <c r="B385" s="3" t="str">
        <f>VLOOKUP(O385,BulletType!A$1:F$35,2)&amp;VLOOKUP(P385,BulletColor!A$1:C$25,3)</f>
        <v>星弹（小）白</v>
      </c>
      <c r="C385" s="3" t="str">
        <f t="shared" si="23"/>
        <v>Bullet111150</v>
      </c>
      <c r="D385" s="2">
        <f>VLOOKUP(O385,BulletType!A$2:N433,9)</f>
        <v>0</v>
      </c>
      <c r="E385" s="2">
        <f>VLOOKUP(O385,BulletType!A$2:N433,10)</f>
        <v>0</v>
      </c>
      <c r="F385" s="3" t="str">
        <f>CONCATENATE(VLOOKUP(O385,BulletType!A$2:I$35,8),VLOOKUP(P385,BulletColor!A$2:D$16,4))</f>
        <v>Bullet200130</v>
      </c>
      <c r="G385" s="3" t="str">
        <f>VLOOKUP(O385,BulletType!A$1:G$35,7)</f>
        <v>2,0.5</v>
      </c>
      <c r="H385" s="2">
        <f t="shared" si="21"/>
        <v>1</v>
      </c>
      <c r="I385">
        <f>VLOOKUP(O385,BulletType!A$1:F$35,3)</f>
        <v>0</v>
      </c>
      <c r="J385">
        <f>VLOOKUP(O385,BulletType!A$1:F$35,4)</f>
        <v>3</v>
      </c>
      <c r="K385">
        <f>VLOOKUP(O385,BulletType!A$1:F$35,5)</f>
        <v>8</v>
      </c>
      <c r="L385">
        <f>VLOOKUP(O385,BulletType!A$1:F$35,5)</f>
        <v>8</v>
      </c>
      <c r="M385">
        <f>VLOOKUP(O385,BulletType!A$1:F$35,6)</f>
        <v>4</v>
      </c>
      <c r="N385" s="3" t="str">
        <f>VLOOKUP(P385,BulletColor!A$2:B408,2)</f>
        <v>0.8,0.8,0.8</v>
      </c>
      <c r="O385">
        <v>11</v>
      </c>
      <c r="P385" s="2">
        <v>15</v>
      </c>
      <c r="Q385" s="2">
        <f t="shared" si="25"/>
        <v>1</v>
      </c>
    </row>
    <row r="386" spans="1:17" x14ac:dyDescent="0.2">
      <c r="A386" s="1">
        <f t="shared" si="22"/>
        <v>112000</v>
      </c>
      <c r="B386" s="3" t="str">
        <f>VLOOKUP(O386,BulletType!A$1:F$35,2)&amp;VLOOKUP(P386,BulletColor!A$1:C$25,3)</f>
        <v>钱币 灰</v>
      </c>
      <c r="C386" s="3" t="str">
        <f t="shared" si="23"/>
        <v>Bullet112000</v>
      </c>
      <c r="D386" s="2">
        <f>VLOOKUP(O386,BulletType!A$2:N434,9)</f>
        <v>0</v>
      </c>
      <c r="E386" s="2">
        <f>VLOOKUP(O386,BulletType!A$2:N434,10)</f>
        <v>0</v>
      </c>
      <c r="F386" s="3" t="str">
        <f>CONCATENATE(VLOOKUP(O386,BulletType!A$2:I$35,8),VLOOKUP(P386,BulletColor!A$2:D$16,4))</f>
        <v>Bullet200000</v>
      </c>
      <c r="G386" s="3" t="str">
        <f>VLOOKUP(O386,BulletType!A$1:G$35,7)</f>
        <v>3,0.753</v>
      </c>
      <c r="H386" s="2">
        <f t="shared" ref="H386:H449" si="26">INT(Q386)</f>
        <v>0</v>
      </c>
      <c r="I386">
        <f>VLOOKUP(O386,BulletType!A$1:F$35,3)</f>
        <v>0</v>
      </c>
      <c r="J386">
        <f>VLOOKUP(O386,BulletType!A$1:F$35,4)</f>
        <v>0</v>
      </c>
      <c r="K386">
        <f>VLOOKUP(O386,BulletType!A$1:F$35,5)</f>
        <v>8</v>
      </c>
      <c r="L386">
        <f>VLOOKUP(O386,BulletType!A$1:F$35,5)</f>
        <v>8</v>
      </c>
      <c r="M386">
        <f>VLOOKUP(O386,BulletType!A$1:F$35,6)</f>
        <v>4</v>
      </c>
      <c r="N386" s="3" t="str">
        <f>VLOOKUP(P386,BulletColor!A$2:B409,2)</f>
        <v>0.5,0.5,0.5</v>
      </c>
      <c r="O386">
        <v>12</v>
      </c>
      <c r="P386" s="2">
        <v>0</v>
      </c>
      <c r="Q386" s="2">
        <f t="shared" si="25"/>
        <v>0</v>
      </c>
    </row>
    <row r="387" spans="1:17" x14ac:dyDescent="0.2">
      <c r="A387" s="1">
        <f t="shared" ref="A387:A450" si="27">VALUE(CONCATENATE(1,(REPT(0,2-LEN(O387))&amp;O387),REPT(0,2-LEN(P387))&amp;(P387),Q387))</f>
        <v>112001</v>
      </c>
      <c r="B387" s="3" t="str">
        <f>VLOOKUP(O387,BulletType!A$1:F$35,2)&amp;VLOOKUP(P387,BulletColor!A$1:C$25,3)</f>
        <v>钱币 灰</v>
      </c>
      <c r="C387" s="3" t="str">
        <f t="shared" ref="C387:C450" si="28">CONCATENATE("Bullet",INT(A387/10)*10)</f>
        <v>Bullet112000</v>
      </c>
      <c r="D387" s="2">
        <f>VLOOKUP(O387,BulletType!A$2:N435,9)</f>
        <v>0</v>
      </c>
      <c r="E387" s="2">
        <f>VLOOKUP(O387,BulletType!A$2:N435,10)</f>
        <v>0</v>
      </c>
      <c r="F387" s="3" t="str">
        <f>CONCATENATE(VLOOKUP(O387,BulletType!A$2:I$35,8),VLOOKUP(P387,BulletColor!A$2:D$16,4))</f>
        <v>Bullet200000</v>
      </c>
      <c r="G387" s="3" t="str">
        <f>VLOOKUP(O387,BulletType!A$1:G$35,7)</f>
        <v>3,0.753</v>
      </c>
      <c r="H387" s="2">
        <f t="shared" si="26"/>
        <v>1</v>
      </c>
      <c r="I387">
        <f>VLOOKUP(O387,BulletType!A$1:F$35,3)</f>
        <v>0</v>
      </c>
      <c r="J387">
        <f>VLOOKUP(O387,BulletType!A$1:F$35,4)</f>
        <v>0</v>
      </c>
      <c r="K387">
        <f>VLOOKUP(O387,BulletType!A$1:F$35,5)</f>
        <v>8</v>
      </c>
      <c r="L387">
        <f>VLOOKUP(O387,BulletType!A$1:F$35,5)</f>
        <v>8</v>
      </c>
      <c r="M387">
        <f>VLOOKUP(O387,BulletType!A$1:F$35,6)</f>
        <v>4</v>
      </c>
      <c r="N387" s="3" t="str">
        <f>VLOOKUP(P387,BulletColor!A$2:B410,2)</f>
        <v>0.5,0.5,0.5</v>
      </c>
      <c r="O387">
        <v>12</v>
      </c>
      <c r="P387" s="2">
        <v>0</v>
      </c>
      <c r="Q387" s="2">
        <f t="shared" si="25"/>
        <v>1</v>
      </c>
    </row>
    <row r="388" spans="1:17" x14ac:dyDescent="0.2">
      <c r="A388" s="1">
        <f t="shared" si="27"/>
        <v>112010</v>
      </c>
      <c r="B388" s="3" t="str">
        <f>VLOOKUP(O388,BulletType!A$1:F$35,2)&amp;VLOOKUP(P388,BulletColor!A$1:C$25,3)</f>
        <v>钱币 深红</v>
      </c>
      <c r="C388" s="3" t="str">
        <f t="shared" si="28"/>
        <v>Bullet112010</v>
      </c>
      <c r="D388" s="2">
        <f>VLOOKUP(O388,BulletType!A$2:N436,9)</f>
        <v>0</v>
      </c>
      <c r="E388" s="2">
        <f>VLOOKUP(O388,BulletType!A$2:N436,10)</f>
        <v>0</v>
      </c>
      <c r="F388" s="3" t="str">
        <f>CONCATENATE(VLOOKUP(O388,BulletType!A$2:I$35,8),VLOOKUP(P388,BulletColor!A$2:D$16,4))</f>
        <v>Bullet200010</v>
      </c>
      <c r="G388" s="3" t="str">
        <f>VLOOKUP(O388,BulletType!A$1:G$35,7)</f>
        <v>3,0.753</v>
      </c>
      <c r="H388" s="2">
        <f t="shared" si="26"/>
        <v>0</v>
      </c>
      <c r="I388">
        <f>VLOOKUP(O388,BulletType!A$1:F$35,3)</f>
        <v>0</v>
      </c>
      <c r="J388">
        <f>VLOOKUP(O388,BulletType!A$1:F$35,4)</f>
        <v>0</v>
      </c>
      <c r="K388">
        <f>VLOOKUP(O388,BulletType!A$1:F$35,5)</f>
        <v>8</v>
      </c>
      <c r="L388">
        <f>VLOOKUP(O388,BulletType!A$1:F$35,5)</f>
        <v>8</v>
      </c>
      <c r="M388">
        <f>VLOOKUP(O388,BulletType!A$1:F$35,6)</f>
        <v>4</v>
      </c>
      <c r="N388" s="3" t="str">
        <f>VLOOKUP(P388,BulletColor!A$2:B411,2)</f>
        <v>0.625,0.3,0.3</v>
      </c>
      <c r="O388">
        <v>12</v>
      </c>
      <c r="P388" s="2">
        <v>1</v>
      </c>
      <c r="Q388" s="2">
        <f t="shared" si="25"/>
        <v>0</v>
      </c>
    </row>
    <row r="389" spans="1:17" x14ac:dyDescent="0.2">
      <c r="A389" s="1">
        <f t="shared" si="27"/>
        <v>112011</v>
      </c>
      <c r="B389" s="3" t="str">
        <f>VLOOKUP(O389,BulletType!A$1:F$35,2)&amp;VLOOKUP(P389,BulletColor!A$1:C$25,3)</f>
        <v>钱币 深红</v>
      </c>
      <c r="C389" s="3" t="str">
        <f t="shared" si="28"/>
        <v>Bullet112010</v>
      </c>
      <c r="D389" s="2">
        <f>VLOOKUP(O389,BulletType!A$2:N437,9)</f>
        <v>0</v>
      </c>
      <c r="E389" s="2">
        <f>VLOOKUP(O389,BulletType!A$2:N437,10)</f>
        <v>0</v>
      </c>
      <c r="F389" s="3" t="str">
        <f>CONCATENATE(VLOOKUP(O389,BulletType!A$2:I$35,8),VLOOKUP(P389,BulletColor!A$2:D$16,4))</f>
        <v>Bullet200010</v>
      </c>
      <c r="G389" s="3" t="str">
        <f>VLOOKUP(O389,BulletType!A$1:G$35,7)</f>
        <v>3,0.753</v>
      </c>
      <c r="H389" s="2">
        <f t="shared" si="26"/>
        <v>1</v>
      </c>
      <c r="I389">
        <f>VLOOKUP(O389,BulletType!A$1:F$35,3)</f>
        <v>0</v>
      </c>
      <c r="J389">
        <f>VLOOKUP(O389,BulletType!A$1:F$35,4)</f>
        <v>0</v>
      </c>
      <c r="K389">
        <f>VLOOKUP(O389,BulletType!A$1:F$35,5)</f>
        <v>8</v>
      </c>
      <c r="L389">
        <f>VLOOKUP(O389,BulletType!A$1:F$35,5)</f>
        <v>8</v>
      </c>
      <c r="M389">
        <f>VLOOKUP(O389,BulletType!A$1:F$35,6)</f>
        <v>4</v>
      </c>
      <c r="N389" s="3" t="str">
        <f>VLOOKUP(P389,BulletColor!A$2:B412,2)</f>
        <v>0.625,0.3,0.3</v>
      </c>
      <c r="O389">
        <v>12</v>
      </c>
      <c r="P389" s="2">
        <v>1</v>
      </c>
      <c r="Q389" s="2">
        <f t="shared" si="25"/>
        <v>1</v>
      </c>
    </row>
    <row r="390" spans="1:17" x14ac:dyDescent="0.2">
      <c r="A390" s="1">
        <f t="shared" si="27"/>
        <v>112020</v>
      </c>
      <c r="B390" s="3" t="str">
        <f>VLOOKUP(O390,BulletType!A$1:F$35,2)&amp;VLOOKUP(P390,BulletColor!A$1:C$25,3)</f>
        <v>钱币 红</v>
      </c>
      <c r="C390" s="3" t="str">
        <f t="shared" si="28"/>
        <v>Bullet112020</v>
      </c>
      <c r="D390" s="2">
        <f>VLOOKUP(O390,BulletType!A$2:N438,9)</f>
        <v>0</v>
      </c>
      <c r="E390" s="2">
        <f>VLOOKUP(O390,BulletType!A$2:N438,10)</f>
        <v>0</v>
      </c>
      <c r="F390" s="3" t="str">
        <f>CONCATENATE(VLOOKUP(O390,BulletType!A$2:I$35,8),VLOOKUP(P390,BulletColor!A$2:D$16,4))</f>
        <v>Bullet200010</v>
      </c>
      <c r="G390" s="3" t="str">
        <f>VLOOKUP(O390,BulletType!A$1:G$35,7)</f>
        <v>3,0.753</v>
      </c>
      <c r="H390" s="2">
        <f t="shared" si="26"/>
        <v>0</v>
      </c>
      <c r="I390">
        <f>VLOOKUP(O390,BulletType!A$1:F$35,3)</f>
        <v>0</v>
      </c>
      <c r="J390">
        <f>VLOOKUP(O390,BulletType!A$1:F$35,4)</f>
        <v>0</v>
      </c>
      <c r="K390">
        <f>VLOOKUP(O390,BulletType!A$1:F$35,5)</f>
        <v>8</v>
      </c>
      <c r="L390">
        <f>VLOOKUP(O390,BulletType!A$1:F$35,5)</f>
        <v>8</v>
      </c>
      <c r="M390">
        <f>VLOOKUP(O390,BulletType!A$1:F$35,6)</f>
        <v>4</v>
      </c>
      <c r="N390" s="3" t="str">
        <f>VLOOKUP(P390,BulletColor!A$2:B413,2)</f>
        <v>0.8,0.3,0.3</v>
      </c>
      <c r="O390">
        <v>12</v>
      </c>
      <c r="P390" s="2">
        <v>2</v>
      </c>
      <c r="Q390" s="2">
        <f t="shared" si="25"/>
        <v>0</v>
      </c>
    </row>
    <row r="391" spans="1:17" x14ac:dyDescent="0.2">
      <c r="A391" s="1">
        <f t="shared" si="27"/>
        <v>112021</v>
      </c>
      <c r="B391" s="3" t="str">
        <f>VLOOKUP(O391,BulletType!A$1:F$35,2)&amp;VLOOKUP(P391,BulletColor!A$1:C$25,3)</f>
        <v>钱币 红</v>
      </c>
      <c r="C391" s="3" t="str">
        <f t="shared" si="28"/>
        <v>Bullet112020</v>
      </c>
      <c r="D391" s="2">
        <f>VLOOKUP(O391,BulletType!A$2:N439,9)</f>
        <v>0</v>
      </c>
      <c r="E391" s="2">
        <f>VLOOKUP(O391,BulletType!A$2:N439,10)</f>
        <v>0</v>
      </c>
      <c r="F391" s="3" t="str">
        <f>CONCATENATE(VLOOKUP(O391,BulletType!A$2:I$35,8),VLOOKUP(P391,BulletColor!A$2:D$16,4))</f>
        <v>Bullet200010</v>
      </c>
      <c r="G391" s="3" t="str">
        <f>VLOOKUP(O391,BulletType!A$1:G$35,7)</f>
        <v>3,0.753</v>
      </c>
      <c r="H391" s="2">
        <f t="shared" si="26"/>
        <v>1</v>
      </c>
      <c r="I391">
        <f>VLOOKUP(O391,BulletType!A$1:F$35,3)</f>
        <v>0</v>
      </c>
      <c r="J391">
        <f>VLOOKUP(O391,BulletType!A$1:F$35,4)</f>
        <v>0</v>
      </c>
      <c r="K391">
        <f>VLOOKUP(O391,BulletType!A$1:F$35,5)</f>
        <v>8</v>
      </c>
      <c r="L391">
        <f>VLOOKUP(O391,BulletType!A$1:F$35,5)</f>
        <v>8</v>
      </c>
      <c r="M391">
        <f>VLOOKUP(O391,BulletType!A$1:F$35,6)</f>
        <v>4</v>
      </c>
      <c r="N391" s="3" t="str">
        <f>VLOOKUP(P391,BulletColor!A$2:B414,2)</f>
        <v>0.8,0.3,0.3</v>
      </c>
      <c r="O391">
        <v>12</v>
      </c>
      <c r="P391" s="2">
        <v>2</v>
      </c>
      <c r="Q391" s="2">
        <f t="shared" si="25"/>
        <v>1</v>
      </c>
    </row>
    <row r="392" spans="1:17" x14ac:dyDescent="0.2">
      <c r="A392" s="1">
        <f t="shared" si="27"/>
        <v>112030</v>
      </c>
      <c r="B392" s="3" t="str">
        <f>VLOOKUP(O392,BulletType!A$1:F$35,2)&amp;VLOOKUP(P392,BulletColor!A$1:C$25,3)</f>
        <v>钱币 深紫</v>
      </c>
      <c r="C392" s="3" t="str">
        <f t="shared" si="28"/>
        <v>Bullet112030</v>
      </c>
      <c r="D392" s="2">
        <f>VLOOKUP(O392,BulletType!A$2:N440,9)</f>
        <v>0</v>
      </c>
      <c r="E392" s="2">
        <f>VLOOKUP(O392,BulletType!A$2:N440,10)</f>
        <v>0</v>
      </c>
      <c r="F392" s="3" t="str">
        <f>CONCATENATE(VLOOKUP(O392,BulletType!A$2:I$35,8),VLOOKUP(P392,BulletColor!A$2:D$16,4))</f>
        <v>Bullet200030</v>
      </c>
      <c r="G392" s="3" t="str">
        <f>VLOOKUP(O392,BulletType!A$1:G$35,7)</f>
        <v>3,0.753</v>
      </c>
      <c r="H392" s="2">
        <f t="shared" si="26"/>
        <v>0</v>
      </c>
      <c r="I392">
        <f>VLOOKUP(O392,BulletType!A$1:F$35,3)</f>
        <v>0</v>
      </c>
      <c r="J392">
        <f>VLOOKUP(O392,BulletType!A$1:F$35,4)</f>
        <v>0</v>
      </c>
      <c r="K392">
        <f>VLOOKUP(O392,BulletType!A$1:F$35,5)</f>
        <v>8</v>
      </c>
      <c r="L392">
        <f>VLOOKUP(O392,BulletType!A$1:F$35,5)</f>
        <v>8</v>
      </c>
      <c r="M392">
        <f>VLOOKUP(O392,BulletType!A$1:F$35,6)</f>
        <v>4</v>
      </c>
      <c r="N392" s="3" t="str">
        <f>VLOOKUP(P392,BulletColor!A$2:B415,2)</f>
        <v>1,0.65,1</v>
      </c>
      <c r="O392">
        <v>12</v>
      </c>
      <c r="P392" s="2">
        <v>3</v>
      </c>
      <c r="Q392" s="2">
        <f t="shared" si="25"/>
        <v>0</v>
      </c>
    </row>
    <row r="393" spans="1:17" x14ac:dyDescent="0.2">
      <c r="A393" s="1">
        <f t="shared" si="27"/>
        <v>112031</v>
      </c>
      <c r="B393" s="3" t="str">
        <f>VLOOKUP(O393,BulletType!A$1:F$35,2)&amp;VLOOKUP(P393,BulletColor!A$1:C$25,3)</f>
        <v>钱币 深紫</v>
      </c>
      <c r="C393" s="3" t="str">
        <f t="shared" si="28"/>
        <v>Bullet112030</v>
      </c>
      <c r="D393" s="2">
        <f>VLOOKUP(O393,BulletType!A$2:N441,9)</f>
        <v>0</v>
      </c>
      <c r="E393" s="2">
        <f>VLOOKUP(O393,BulletType!A$2:N441,10)</f>
        <v>0</v>
      </c>
      <c r="F393" s="3" t="str">
        <f>CONCATENATE(VLOOKUP(O393,BulletType!A$2:I$35,8),VLOOKUP(P393,BulletColor!A$2:D$16,4))</f>
        <v>Bullet200030</v>
      </c>
      <c r="G393" s="3" t="str">
        <f>VLOOKUP(O393,BulletType!A$1:G$35,7)</f>
        <v>3,0.753</v>
      </c>
      <c r="H393" s="2">
        <f t="shared" si="26"/>
        <v>1</v>
      </c>
      <c r="I393">
        <f>VLOOKUP(O393,BulletType!A$1:F$35,3)</f>
        <v>0</v>
      </c>
      <c r="J393">
        <f>VLOOKUP(O393,BulletType!A$1:F$35,4)</f>
        <v>0</v>
      </c>
      <c r="K393">
        <f>VLOOKUP(O393,BulletType!A$1:F$35,5)</f>
        <v>8</v>
      </c>
      <c r="L393">
        <f>VLOOKUP(O393,BulletType!A$1:F$35,5)</f>
        <v>8</v>
      </c>
      <c r="M393">
        <f>VLOOKUP(O393,BulletType!A$1:F$35,6)</f>
        <v>4</v>
      </c>
      <c r="N393" s="3" t="str">
        <f>VLOOKUP(P393,BulletColor!A$2:B416,2)</f>
        <v>1,0.65,1</v>
      </c>
      <c r="O393">
        <v>12</v>
      </c>
      <c r="P393" s="2">
        <v>3</v>
      </c>
      <c r="Q393" s="2">
        <f t="shared" si="25"/>
        <v>1</v>
      </c>
    </row>
    <row r="394" spans="1:17" x14ac:dyDescent="0.2">
      <c r="A394" s="1">
        <f t="shared" si="27"/>
        <v>112040</v>
      </c>
      <c r="B394" s="3" t="str">
        <f>VLOOKUP(O394,BulletType!A$1:F$35,2)&amp;VLOOKUP(P394,BulletColor!A$1:C$25,3)</f>
        <v>钱币 紫</v>
      </c>
      <c r="C394" s="3" t="str">
        <f t="shared" si="28"/>
        <v>Bullet112040</v>
      </c>
      <c r="D394" s="2">
        <f>VLOOKUP(O394,BulletType!A$2:N442,9)</f>
        <v>0</v>
      </c>
      <c r="E394" s="2">
        <f>VLOOKUP(O394,BulletType!A$2:N442,10)</f>
        <v>0</v>
      </c>
      <c r="F394" s="3" t="str">
        <f>CONCATENATE(VLOOKUP(O394,BulletType!A$2:I$35,8),VLOOKUP(P394,BulletColor!A$2:D$16,4))</f>
        <v>Bullet200030</v>
      </c>
      <c r="G394" s="3" t="str">
        <f>VLOOKUP(O394,BulletType!A$1:G$35,7)</f>
        <v>3,0.753</v>
      </c>
      <c r="H394" s="2">
        <f t="shared" si="26"/>
        <v>0</v>
      </c>
      <c r="I394">
        <f>VLOOKUP(O394,BulletType!A$1:F$35,3)</f>
        <v>0</v>
      </c>
      <c r="J394">
        <f>VLOOKUP(O394,BulletType!A$1:F$35,4)</f>
        <v>0</v>
      </c>
      <c r="K394">
        <f>VLOOKUP(O394,BulletType!A$1:F$35,5)</f>
        <v>8</v>
      </c>
      <c r="L394">
        <f>VLOOKUP(O394,BulletType!A$1:F$35,5)</f>
        <v>8</v>
      </c>
      <c r="M394">
        <f>VLOOKUP(O394,BulletType!A$1:F$35,6)</f>
        <v>4</v>
      </c>
      <c r="N394" s="3" t="str">
        <f>VLOOKUP(P394,BulletColor!A$2:B417,2)</f>
        <v>1,0.65,1</v>
      </c>
      <c r="O394">
        <v>12</v>
      </c>
      <c r="P394" s="2">
        <v>4</v>
      </c>
      <c r="Q394" s="2">
        <f t="shared" si="25"/>
        <v>0</v>
      </c>
    </row>
    <row r="395" spans="1:17" x14ac:dyDescent="0.2">
      <c r="A395" s="1">
        <f t="shared" si="27"/>
        <v>112041</v>
      </c>
      <c r="B395" s="3" t="str">
        <f>VLOOKUP(O395,BulletType!A$1:F$35,2)&amp;VLOOKUP(P395,BulletColor!A$1:C$25,3)</f>
        <v>钱币 紫</v>
      </c>
      <c r="C395" s="3" t="str">
        <f t="shared" si="28"/>
        <v>Bullet112040</v>
      </c>
      <c r="D395" s="2">
        <f>VLOOKUP(O395,BulletType!A$2:N443,9)</f>
        <v>0</v>
      </c>
      <c r="E395" s="2">
        <f>VLOOKUP(O395,BulletType!A$2:N443,10)</f>
        <v>0</v>
      </c>
      <c r="F395" s="3" t="str">
        <f>CONCATENATE(VLOOKUP(O395,BulletType!A$2:I$35,8),VLOOKUP(P395,BulletColor!A$2:D$16,4))</f>
        <v>Bullet200030</v>
      </c>
      <c r="G395" s="3" t="str">
        <f>VLOOKUP(O395,BulletType!A$1:G$35,7)</f>
        <v>3,0.753</v>
      </c>
      <c r="H395" s="2">
        <f t="shared" si="26"/>
        <v>1</v>
      </c>
      <c r="I395">
        <f>VLOOKUP(O395,BulletType!A$1:F$35,3)</f>
        <v>0</v>
      </c>
      <c r="J395">
        <f>VLOOKUP(O395,BulletType!A$1:F$35,4)</f>
        <v>0</v>
      </c>
      <c r="K395">
        <f>VLOOKUP(O395,BulletType!A$1:F$35,5)</f>
        <v>8</v>
      </c>
      <c r="L395">
        <f>VLOOKUP(O395,BulletType!A$1:F$35,5)</f>
        <v>8</v>
      </c>
      <c r="M395">
        <f>VLOOKUP(O395,BulletType!A$1:F$35,6)</f>
        <v>4</v>
      </c>
      <c r="N395" s="3" t="str">
        <f>VLOOKUP(P395,BulletColor!A$2:B418,2)</f>
        <v>1,0.65,1</v>
      </c>
      <c r="O395">
        <v>12</v>
      </c>
      <c r="P395" s="2">
        <v>4</v>
      </c>
      <c r="Q395" s="2">
        <f t="shared" si="25"/>
        <v>1</v>
      </c>
    </row>
    <row r="396" spans="1:17" x14ac:dyDescent="0.2">
      <c r="A396" s="1">
        <f t="shared" si="27"/>
        <v>112050</v>
      </c>
      <c r="B396" s="3" t="str">
        <f>VLOOKUP(O396,BulletType!A$1:F$35,2)&amp;VLOOKUP(P396,BulletColor!A$1:C$25,3)</f>
        <v>钱币 深蓝</v>
      </c>
      <c r="C396" s="3" t="str">
        <f t="shared" si="28"/>
        <v>Bullet112050</v>
      </c>
      <c r="D396" s="2">
        <f>VLOOKUP(O396,BulletType!A$2:N444,9)</f>
        <v>0</v>
      </c>
      <c r="E396" s="2">
        <f>VLOOKUP(O396,BulletType!A$2:N444,10)</f>
        <v>0</v>
      </c>
      <c r="F396" s="3" t="str">
        <f>CONCATENATE(VLOOKUP(O396,BulletType!A$2:I$35,8),VLOOKUP(P396,BulletColor!A$2:D$16,4))</f>
        <v>Bullet200050</v>
      </c>
      <c r="G396" s="3" t="str">
        <f>VLOOKUP(O396,BulletType!A$1:G$35,7)</f>
        <v>3,0.753</v>
      </c>
      <c r="H396" s="2">
        <f t="shared" si="26"/>
        <v>0</v>
      </c>
      <c r="I396">
        <f>VLOOKUP(O396,BulletType!A$1:F$35,3)</f>
        <v>0</v>
      </c>
      <c r="J396">
        <f>VLOOKUP(O396,BulletType!A$1:F$35,4)</f>
        <v>0</v>
      </c>
      <c r="K396">
        <f>VLOOKUP(O396,BulletType!A$1:F$35,5)</f>
        <v>8</v>
      </c>
      <c r="L396">
        <f>VLOOKUP(O396,BulletType!A$1:F$35,5)</f>
        <v>8</v>
      </c>
      <c r="M396">
        <f>VLOOKUP(O396,BulletType!A$1:F$35,6)</f>
        <v>4</v>
      </c>
      <c r="N396" s="3" t="str">
        <f>VLOOKUP(P396,BulletColor!A$2:B419,2)</f>
        <v>0,0.1,1</v>
      </c>
      <c r="O396">
        <v>12</v>
      </c>
      <c r="P396" s="2">
        <v>5</v>
      </c>
      <c r="Q396" s="2">
        <f t="shared" si="25"/>
        <v>0</v>
      </c>
    </row>
    <row r="397" spans="1:17" x14ac:dyDescent="0.2">
      <c r="A397" s="1">
        <f t="shared" si="27"/>
        <v>112051</v>
      </c>
      <c r="B397" s="3" t="str">
        <f>VLOOKUP(O397,BulletType!A$1:F$35,2)&amp;VLOOKUP(P397,BulletColor!A$1:C$25,3)</f>
        <v>钱币 深蓝</v>
      </c>
      <c r="C397" s="3" t="str">
        <f t="shared" si="28"/>
        <v>Bullet112050</v>
      </c>
      <c r="D397" s="2">
        <f>VLOOKUP(O397,BulletType!A$2:N445,9)</f>
        <v>0</v>
      </c>
      <c r="E397" s="2">
        <f>VLOOKUP(O397,BulletType!A$2:N445,10)</f>
        <v>0</v>
      </c>
      <c r="F397" s="3" t="str">
        <f>CONCATENATE(VLOOKUP(O397,BulletType!A$2:I$35,8),VLOOKUP(P397,BulletColor!A$2:D$16,4))</f>
        <v>Bullet200050</v>
      </c>
      <c r="G397" s="3" t="str">
        <f>VLOOKUP(O397,BulletType!A$1:G$35,7)</f>
        <v>3,0.753</v>
      </c>
      <c r="H397" s="2">
        <f t="shared" si="26"/>
        <v>1</v>
      </c>
      <c r="I397">
        <f>VLOOKUP(O397,BulletType!A$1:F$35,3)</f>
        <v>0</v>
      </c>
      <c r="J397">
        <f>VLOOKUP(O397,BulletType!A$1:F$35,4)</f>
        <v>0</v>
      </c>
      <c r="K397">
        <f>VLOOKUP(O397,BulletType!A$1:F$35,5)</f>
        <v>8</v>
      </c>
      <c r="L397">
        <f>VLOOKUP(O397,BulletType!A$1:F$35,5)</f>
        <v>8</v>
      </c>
      <c r="M397">
        <f>VLOOKUP(O397,BulletType!A$1:F$35,6)</f>
        <v>4</v>
      </c>
      <c r="N397" s="3" t="str">
        <f>VLOOKUP(P397,BulletColor!A$2:B420,2)</f>
        <v>0,0.1,1</v>
      </c>
      <c r="O397">
        <v>12</v>
      </c>
      <c r="P397" s="2">
        <v>5</v>
      </c>
      <c r="Q397" s="2">
        <f t="shared" si="25"/>
        <v>1</v>
      </c>
    </row>
    <row r="398" spans="1:17" x14ac:dyDescent="0.2">
      <c r="A398" s="1">
        <f t="shared" si="27"/>
        <v>112060</v>
      </c>
      <c r="B398" s="3" t="str">
        <f>VLOOKUP(O398,BulletType!A$1:F$35,2)&amp;VLOOKUP(P398,BulletColor!A$1:C$25,3)</f>
        <v>钱币 蓝</v>
      </c>
      <c r="C398" s="3" t="str">
        <f t="shared" si="28"/>
        <v>Bullet112060</v>
      </c>
      <c r="D398" s="2">
        <f>VLOOKUP(O398,BulletType!A$2:N446,9)</f>
        <v>0</v>
      </c>
      <c r="E398" s="2">
        <f>VLOOKUP(O398,BulletType!A$2:N446,10)</f>
        <v>0</v>
      </c>
      <c r="F398" s="3" t="str">
        <f>CONCATENATE(VLOOKUP(O398,BulletType!A$2:I$35,8),VLOOKUP(P398,BulletColor!A$2:D$16,4))</f>
        <v>Bullet200050</v>
      </c>
      <c r="G398" s="3" t="str">
        <f>VLOOKUP(O398,BulletType!A$1:G$35,7)</f>
        <v>3,0.753</v>
      </c>
      <c r="H398" s="2">
        <f t="shared" si="26"/>
        <v>0</v>
      </c>
      <c r="I398">
        <f>VLOOKUP(O398,BulletType!A$1:F$35,3)</f>
        <v>0</v>
      </c>
      <c r="J398">
        <f>VLOOKUP(O398,BulletType!A$1:F$35,4)</f>
        <v>0</v>
      </c>
      <c r="K398">
        <f>VLOOKUP(O398,BulletType!A$1:F$35,5)</f>
        <v>8</v>
      </c>
      <c r="L398">
        <f>VLOOKUP(O398,BulletType!A$1:F$35,5)</f>
        <v>8</v>
      </c>
      <c r="M398">
        <f>VLOOKUP(O398,BulletType!A$1:F$35,6)</f>
        <v>4</v>
      </c>
      <c r="N398" s="3" t="str">
        <f>VLOOKUP(P398,BulletColor!A$2:B421,2)</f>
        <v>0,0.1,1</v>
      </c>
      <c r="O398">
        <v>12</v>
      </c>
      <c r="P398" s="2">
        <v>6</v>
      </c>
      <c r="Q398" s="2">
        <f t="shared" si="25"/>
        <v>0</v>
      </c>
    </row>
    <row r="399" spans="1:17" x14ac:dyDescent="0.2">
      <c r="A399" s="1">
        <f t="shared" si="27"/>
        <v>112061</v>
      </c>
      <c r="B399" s="3" t="str">
        <f>VLOOKUP(O399,BulletType!A$1:F$35,2)&amp;VLOOKUP(P399,BulletColor!A$1:C$25,3)</f>
        <v>钱币 蓝</v>
      </c>
      <c r="C399" s="3" t="str">
        <f t="shared" si="28"/>
        <v>Bullet112060</v>
      </c>
      <c r="D399" s="2">
        <f>VLOOKUP(O399,BulletType!A$2:N447,9)</f>
        <v>0</v>
      </c>
      <c r="E399" s="2">
        <f>VLOOKUP(O399,BulletType!A$2:N447,10)</f>
        <v>0</v>
      </c>
      <c r="F399" s="3" t="str">
        <f>CONCATENATE(VLOOKUP(O399,BulletType!A$2:I$35,8),VLOOKUP(P399,BulletColor!A$2:D$16,4))</f>
        <v>Bullet200050</v>
      </c>
      <c r="G399" s="3" t="str">
        <f>VLOOKUP(O399,BulletType!A$1:G$35,7)</f>
        <v>3,0.753</v>
      </c>
      <c r="H399" s="2">
        <f t="shared" si="26"/>
        <v>1</v>
      </c>
      <c r="I399">
        <f>VLOOKUP(O399,BulletType!A$1:F$35,3)</f>
        <v>0</v>
      </c>
      <c r="J399">
        <f>VLOOKUP(O399,BulletType!A$1:F$35,4)</f>
        <v>0</v>
      </c>
      <c r="K399">
        <f>VLOOKUP(O399,BulletType!A$1:F$35,5)</f>
        <v>8</v>
      </c>
      <c r="L399">
        <f>VLOOKUP(O399,BulletType!A$1:F$35,5)</f>
        <v>8</v>
      </c>
      <c r="M399">
        <f>VLOOKUP(O399,BulletType!A$1:F$35,6)</f>
        <v>4</v>
      </c>
      <c r="N399" s="3" t="str">
        <f>VLOOKUP(P399,BulletColor!A$2:B422,2)</f>
        <v>0,0.1,1</v>
      </c>
      <c r="O399">
        <v>12</v>
      </c>
      <c r="P399" s="2">
        <v>6</v>
      </c>
      <c r="Q399" s="2">
        <f t="shared" si="25"/>
        <v>1</v>
      </c>
    </row>
    <row r="400" spans="1:17" x14ac:dyDescent="0.2">
      <c r="A400" s="1">
        <f t="shared" si="27"/>
        <v>112070</v>
      </c>
      <c r="B400" s="3" t="str">
        <f>VLOOKUP(O400,BulletType!A$1:F$35,2)&amp;VLOOKUP(P400,BulletColor!A$1:C$25,3)</f>
        <v>钱币 深青</v>
      </c>
      <c r="C400" s="3" t="str">
        <f t="shared" si="28"/>
        <v>Bullet112070</v>
      </c>
      <c r="D400" s="2">
        <f>VLOOKUP(O400,BulletType!A$2:N448,9)</f>
        <v>0</v>
      </c>
      <c r="E400" s="2">
        <f>VLOOKUP(O400,BulletType!A$2:N448,10)</f>
        <v>0</v>
      </c>
      <c r="F400" s="3" t="str">
        <f>CONCATENATE(VLOOKUP(O400,BulletType!A$2:I$35,8),VLOOKUP(P400,BulletColor!A$2:D$16,4))</f>
        <v>Bullet200070</v>
      </c>
      <c r="G400" s="3" t="str">
        <f>VLOOKUP(O400,BulletType!A$1:G$35,7)</f>
        <v>3,0.753</v>
      </c>
      <c r="H400" s="2">
        <f t="shared" si="26"/>
        <v>0</v>
      </c>
      <c r="I400">
        <f>VLOOKUP(O400,BulletType!A$1:F$35,3)</f>
        <v>0</v>
      </c>
      <c r="J400">
        <f>VLOOKUP(O400,BulletType!A$1:F$35,4)</f>
        <v>0</v>
      </c>
      <c r="K400">
        <f>VLOOKUP(O400,BulletType!A$1:F$35,5)</f>
        <v>8</v>
      </c>
      <c r="L400">
        <f>VLOOKUP(O400,BulletType!A$1:F$35,5)</f>
        <v>8</v>
      </c>
      <c r="M400">
        <f>VLOOKUP(O400,BulletType!A$1:F$35,6)</f>
        <v>4</v>
      </c>
      <c r="N400" s="3" t="str">
        <f>VLOOKUP(P400,BulletColor!A$2:B423,2)</f>
        <v>0.25,1,1</v>
      </c>
      <c r="O400">
        <v>12</v>
      </c>
      <c r="P400" s="2">
        <v>7</v>
      </c>
      <c r="Q400" s="2">
        <f t="shared" si="25"/>
        <v>0</v>
      </c>
    </row>
    <row r="401" spans="1:17" x14ac:dyDescent="0.2">
      <c r="A401" s="1">
        <f t="shared" si="27"/>
        <v>112071</v>
      </c>
      <c r="B401" s="3" t="str">
        <f>VLOOKUP(O401,BulletType!A$1:F$35,2)&amp;VLOOKUP(P401,BulletColor!A$1:C$25,3)</f>
        <v>钱币 深青</v>
      </c>
      <c r="C401" s="3" t="str">
        <f t="shared" si="28"/>
        <v>Bullet112070</v>
      </c>
      <c r="D401" s="2">
        <f>VLOOKUP(O401,BulletType!A$2:N449,9)</f>
        <v>0</v>
      </c>
      <c r="E401" s="2">
        <f>VLOOKUP(O401,BulletType!A$2:N449,10)</f>
        <v>0</v>
      </c>
      <c r="F401" s="3" t="str">
        <f>CONCATENATE(VLOOKUP(O401,BulletType!A$2:I$35,8),VLOOKUP(P401,BulletColor!A$2:D$16,4))</f>
        <v>Bullet200070</v>
      </c>
      <c r="G401" s="3" t="str">
        <f>VLOOKUP(O401,BulletType!A$1:G$35,7)</f>
        <v>3,0.753</v>
      </c>
      <c r="H401" s="2">
        <f t="shared" si="26"/>
        <v>1</v>
      </c>
      <c r="I401">
        <f>VLOOKUP(O401,BulletType!A$1:F$35,3)</f>
        <v>0</v>
      </c>
      <c r="J401">
        <f>VLOOKUP(O401,BulletType!A$1:F$35,4)</f>
        <v>0</v>
      </c>
      <c r="K401">
        <f>VLOOKUP(O401,BulletType!A$1:F$35,5)</f>
        <v>8</v>
      </c>
      <c r="L401">
        <f>VLOOKUP(O401,BulletType!A$1:F$35,5)</f>
        <v>8</v>
      </c>
      <c r="M401">
        <f>VLOOKUP(O401,BulletType!A$1:F$35,6)</f>
        <v>4</v>
      </c>
      <c r="N401" s="3" t="str">
        <f>VLOOKUP(P401,BulletColor!A$2:B424,2)</f>
        <v>0.25,1,1</v>
      </c>
      <c r="O401">
        <v>12</v>
      </c>
      <c r="P401" s="2">
        <v>7</v>
      </c>
      <c r="Q401" s="2">
        <f t="shared" si="25"/>
        <v>1</v>
      </c>
    </row>
    <row r="402" spans="1:17" x14ac:dyDescent="0.2">
      <c r="A402" s="1">
        <f t="shared" si="27"/>
        <v>112080</v>
      </c>
      <c r="B402" s="3" t="str">
        <f>VLOOKUP(O402,BulletType!A$1:F$35,2)&amp;VLOOKUP(P402,BulletColor!A$1:C$25,3)</f>
        <v>钱币 青</v>
      </c>
      <c r="C402" s="3" t="str">
        <f t="shared" si="28"/>
        <v>Bullet112080</v>
      </c>
      <c r="D402" s="2">
        <f>VLOOKUP(O402,BulletType!A$2:N450,9)</f>
        <v>0</v>
      </c>
      <c r="E402" s="2">
        <f>VLOOKUP(O402,BulletType!A$2:N450,10)</f>
        <v>0</v>
      </c>
      <c r="F402" s="3" t="str">
        <f>CONCATENATE(VLOOKUP(O402,BulletType!A$2:I$35,8),VLOOKUP(P402,BulletColor!A$2:D$16,4))</f>
        <v>Bullet200070</v>
      </c>
      <c r="G402" s="3" t="str">
        <f>VLOOKUP(O402,BulletType!A$1:G$35,7)</f>
        <v>3,0.753</v>
      </c>
      <c r="H402" s="2">
        <f t="shared" si="26"/>
        <v>0</v>
      </c>
      <c r="I402">
        <f>VLOOKUP(O402,BulletType!A$1:F$35,3)</f>
        <v>0</v>
      </c>
      <c r="J402">
        <f>VLOOKUP(O402,BulletType!A$1:F$35,4)</f>
        <v>0</v>
      </c>
      <c r="K402">
        <f>VLOOKUP(O402,BulletType!A$1:F$35,5)</f>
        <v>8</v>
      </c>
      <c r="L402">
        <f>VLOOKUP(O402,BulletType!A$1:F$35,5)</f>
        <v>8</v>
      </c>
      <c r="M402">
        <f>VLOOKUP(O402,BulletType!A$1:F$35,6)</f>
        <v>4</v>
      </c>
      <c r="N402" s="3" t="str">
        <f>VLOOKUP(P402,BulletColor!A$2:B425,2)</f>
        <v>0.25,1,1</v>
      </c>
      <c r="O402">
        <v>12</v>
      </c>
      <c r="P402" s="2">
        <v>8</v>
      </c>
      <c r="Q402" s="2">
        <f t="shared" si="25"/>
        <v>0</v>
      </c>
    </row>
    <row r="403" spans="1:17" x14ac:dyDescent="0.2">
      <c r="A403" s="1">
        <f t="shared" si="27"/>
        <v>112081</v>
      </c>
      <c r="B403" s="3" t="str">
        <f>VLOOKUP(O403,BulletType!A$1:F$35,2)&amp;VLOOKUP(P403,BulletColor!A$1:C$25,3)</f>
        <v>钱币 青</v>
      </c>
      <c r="C403" s="3" t="str">
        <f t="shared" si="28"/>
        <v>Bullet112080</v>
      </c>
      <c r="D403" s="2">
        <f>VLOOKUP(O403,BulletType!A$2:N451,9)</f>
        <v>0</v>
      </c>
      <c r="E403" s="2">
        <f>VLOOKUP(O403,BulletType!A$2:N451,10)</f>
        <v>0</v>
      </c>
      <c r="F403" s="3" t="str">
        <f>CONCATENATE(VLOOKUP(O403,BulletType!A$2:I$35,8),VLOOKUP(P403,BulletColor!A$2:D$16,4))</f>
        <v>Bullet200070</v>
      </c>
      <c r="G403" s="3" t="str">
        <f>VLOOKUP(O403,BulletType!A$1:G$35,7)</f>
        <v>3,0.753</v>
      </c>
      <c r="H403" s="2">
        <f t="shared" si="26"/>
        <v>1</v>
      </c>
      <c r="I403">
        <f>VLOOKUP(O403,BulletType!A$1:F$35,3)</f>
        <v>0</v>
      </c>
      <c r="J403">
        <f>VLOOKUP(O403,BulletType!A$1:F$35,4)</f>
        <v>0</v>
      </c>
      <c r="K403">
        <f>VLOOKUP(O403,BulletType!A$1:F$35,5)</f>
        <v>8</v>
      </c>
      <c r="L403">
        <f>VLOOKUP(O403,BulletType!A$1:F$35,5)</f>
        <v>8</v>
      </c>
      <c r="M403">
        <f>VLOOKUP(O403,BulletType!A$1:F$35,6)</f>
        <v>4</v>
      </c>
      <c r="N403" s="3" t="str">
        <f>VLOOKUP(P403,BulletColor!A$2:B426,2)</f>
        <v>0.25,1,1</v>
      </c>
      <c r="O403">
        <v>12</v>
      </c>
      <c r="P403" s="2">
        <v>8</v>
      </c>
      <c r="Q403" s="2">
        <f t="shared" si="25"/>
        <v>1</v>
      </c>
    </row>
    <row r="404" spans="1:17" x14ac:dyDescent="0.2">
      <c r="A404" s="1">
        <f t="shared" si="27"/>
        <v>112090</v>
      </c>
      <c r="B404" s="3" t="str">
        <f>VLOOKUP(O404,BulletType!A$1:F$35,2)&amp;VLOOKUP(P404,BulletColor!A$1:C$25,3)</f>
        <v>钱币 深绿</v>
      </c>
      <c r="C404" s="3" t="str">
        <f t="shared" si="28"/>
        <v>Bullet112090</v>
      </c>
      <c r="D404" s="2">
        <f>VLOOKUP(O404,BulletType!A$2:N452,9)</f>
        <v>0</v>
      </c>
      <c r="E404" s="2">
        <f>VLOOKUP(O404,BulletType!A$2:N452,10)</f>
        <v>0</v>
      </c>
      <c r="F404" s="3" t="str">
        <f>CONCATENATE(VLOOKUP(O404,BulletType!A$2:I$35,8),VLOOKUP(P404,BulletColor!A$2:D$16,4))</f>
        <v>Bullet200090</v>
      </c>
      <c r="G404" s="3" t="str">
        <f>VLOOKUP(O404,BulletType!A$1:G$35,7)</f>
        <v>3,0.753</v>
      </c>
      <c r="H404" s="2">
        <f t="shared" si="26"/>
        <v>0</v>
      </c>
      <c r="I404">
        <f>VLOOKUP(O404,BulletType!A$1:F$35,3)</f>
        <v>0</v>
      </c>
      <c r="J404">
        <f>VLOOKUP(O404,BulletType!A$1:F$35,4)</f>
        <v>0</v>
      </c>
      <c r="K404">
        <f>VLOOKUP(O404,BulletType!A$1:F$35,5)</f>
        <v>8</v>
      </c>
      <c r="L404">
        <f>VLOOKUP(O404,BulletType!A$1:F$35,5)</f>
        <v>8</v>
      </c>
      <c r="M404">
        <f>VLOOKUP(O404,BulletType!A$1:F$35,6)</f>
        <v>4</v>
      </c>
      <c r="N404" s="3" t="str">
        <f>VLOOKUP(P404,BulletColor!A$2:B427,2)</f>
        <v>0.36,0.78,1</v>
      </c>
      <c r="O404">
        <v>12</v>
      </c>
      <c r="P404" s="2">
        <v>9</v>
      </c>
      <c r="Q404" s="2">
        <f t="shared" si="25"/>
        <v>0</v>
      </c>
    </row>
    <row r="405" spans="1:17" x14ac:dyDescent="0.2">
      <c r="A405" s="1">
        <f t="shared" si="27"/>
        <v>112091</v>
      </c>
      <c r="B405" s="3" t="str">
        <f>VLOOKUP(O405,BulletType!A$1:F$35,2)&amp;VLOOKUP(P405,BulletColor!A$1:C$25,3)</f>
        <v>钱币 深绿</v>
      </c>
      <c r="C405" s="3" t="str">
        <f t="shared" si="28"/>
        <v>Bullet112090</v>
      </c>
      <c r="D405" s="2">
        <f>VLOOKUP(O405,BulletType!A$2:N453,9)</f>
        <v>0</v>
      </c>
      <c r="E405" s="2">
        <f>VLOOKUP(O405,BulletType!A$2:N453,10)</f>
        <v>0</v>
      </c>
      <c r="F405" s="3" t="str">
        <f>CONCATENATE(VLOOKUP(O405,BulletType!A$2:I$35,8),VLOOKUP(P405,BulletColor!A$2:D$16,4))</f>
        <v>Bullet200090</v>
      </c>
      <c r="G405" s="3" t="str">
        <f>VLOOKUP(O405,BulletType!A$1:G$35,7)</f>
        <v>3,0.753</v>
      </c>
      <c r="H405" s="2">
        <f t="shared" si="26"/>
        <v>1</v>
      </c>
      <c r="I405">
        <f>VLOOKUP(O405,BulletType!A$1:F$35,3)</f>
        <v>0</v>
      </c>
      <c r="J405">
        <f>VLOOKUP(O405,BulletType!A$1:F$35,4)</f>
        <v>0</v>
      </c>
      <c r="K405">
        <f>VLOOKUP(O405,BulletType!A$1:F$35,5)</f>
        <v>8</v>
      </c>
      <c r="L405">
        <f>VLOOKUP(O405,BulletType!A$1:F$35,5)</f>
        <v>8</v>
      </c>
      <c r="M405">
        <f>VLOOKUP(O405,BulletType!A$1:F$35,6)</f>
        <v>4</v>
      </c>
      <c r="N405" s="3" t="str">
        <f>VLOOKUP(P405,BulletColor!A$2:B428,2)</f>
        <v>0.36,0.78,1</v>
      </c>
      <c r="O405">
        <v>12</v>
      </c>
      <c r="P405" s="2">
        <v>9</v>
      </c>
      <c r="Q405" s="2">
        <f t="shared" si="25"/>
        <v>1</v>
      </c>
    </row>
    <row r="406" spans="1:17" x14ac:dyDescent="0.2">
      <c r="A406" s="1">
        <f t="shared" si="27"/>
        <v>112100</v>
      </c>
      <c r="B406" s="3" t="str">
        <f>VLOOKUP(O406,BulletType!A$1:F$35,2)&amp;VLOOKUP(P406,BulletColor!A$1:C$25,3)</f>
        <v>钱币 绿</v>
      </c>
      <c r="C406" s="3" t="str">
        <f t="shared" si="28"/>
        <v>Bullet112100</v>
      </c>
      <c r="D406" s="2">
        <f>VLOOKUP(O406,BulletType!A$2:N454,9)</f>
        <v>0</v>
      </c>
      <c r="E406" s="2">
        <f>VLOOKUP(O406,BulletType!A$2:N454,10)</f>
        <v>0</v>
      </c>
      <c r="F406" s="3" t="str">
        <f>CONCATENATE(VLOOKUP(O406,BulletType!A$2:I$35,8),VLOOKUP(P406,BulletColor!A$2:D$16,4))</f>
        <v>Bullet200090</v>
      </c>
      <c r="G406" s="3" t="str">
        <f>VLOOKUP(O406,BulletType!A$1:G$35,7)</f>
        <v>3,0.753</v>
      </c>
      <c r="H406" s="2">
        <f t="shared" si="26"/>
        <v>0</v>
      </c>
      <c r="I406">
        <f>VLOOKUP(O406,BulletType!A$1:F$35,3)</f>
        <v>0</v>
      </c>
      <c r="J406">
        <f>VLOOKUP(O406,BulletType!A$1:F$35,4)</f>
        <v>0</v>
      </c>
      <c r="K406">
        <f>VLOOKUP(O406,BulletType!A$1:F$35,5)</f>
        <v>8</v>
      </c>
      <c r="L406">
        <f>VLOOKUP(O406,BulletType!A$1:F$35,5)</f>
        <v>8</v>
      </c>
      <c r="M406">
        <f>VLOOKUP(O406,BulletType!A$1:F$35,6)</f>
        <v>4</v>
      </c>
      <c r="N406" s="3" t="str">
        <f>VLOOKUP(P406,BulletColor!A$2:B429,2)</f>
        <v>0.36,0.78,1</v>
      </c>
      <c r="O406">
        <v>12</v>
      </c>
      <c r="P406" s="2">
        <v>10</v>
      </c>
      <c r="Q406" s="2">
        <f t="shared" si="25"/>
        <v>0</v>
      </c>
    </row>
    <row r="407" spans="1:17" x14ac:dyDescent="0.2">
      <c r="A407" s="1">
        <f t="shared" si="27"/>
        <v>112101</v>
      </c>
      <c r="B407" s="3" t="str">
        <f>VLOOKUP(O407,BulletType!A$1:F$35,2)&amp;VLOOKUP(P407,BulletColor!A$1:C$25,3)</f>
        <v>钱币 绿</v>
      </c>
      <c r="C407" s="3" t="str">
        <f t="shared" si="28"/>
        <v>Bullet112100</v>
      </c>
      <c r="D407" s="2">
        <f>VLOOKUP(O407,BulletType!A$2:N455,9)</f>
        <v>0</v>
      </c>
      <c r="E407" s="2">
        <f>VLOOKUP(O407,BulletType!A$2:N455,10)</f>
        <v>0</v>
      </c>
      <c r="F407" s="3" t="str">
        <f>CONCATENATE(VLOOKUP(O407,BulletType!A$2:I$35,8),VLOOKUP(P407,BulletColor!A$2:D$16,4))</f>
        <v>Bullet200090</v>
      </c>
      <c r="G407" s="3" t="str">
        <f>VLOOKUP(O407,BulletType!A$1:G$35,7)</f>
        <v>3,0.753</v>
      </c>
      <c r="H407" s="2">
        <f t="shared" si="26"/>
        <v>1</v>
      </c>
      <c r="I407">
        <f>VLOOKUP(O407,BulletType!A$1:F$35,3)</f>
        <v>0</v>
      </c>
      <c r="J407">
        <f>VLOOKUP(O407,BulletType!A$1:F$35,4)</f>
        <v>0</v>
      </c>
      <c r="K407">
        <f>VLOOKUP(O407,BulletType!A$1:F$35,5)</f>
        <v>8</v>
      </c>
      <c r="L407">
        <f>VLOOKUP(O407,BulletType!A$1:F$35,5)</f>
        <v>8</v>
      </c>
      <c r="M407">
        <f>VLOOKUP(O407,BulletType!A$1:F$35,6)</f>
        <v>4</v>
      </c>
      <c r="N407" s="3" t="str">
        <f>VLOOKUP(P407,BulletColor!A$2:B430,2)</f>
        <v>0.36,0.78,1</v>
      </c>
      <c r="O407">
        <v>12</v>
      </c>
      <c r="P407" s="2">
        <v>10</v>
      </c>
      <c r="Q407" s="2">
        <f t="shared" si="25"/>
        <v>1</v>
      </c>
    </row>
    <row r="408" spans="1:17" x14ac:dyDescent="0.2">
      <c r="A408" s="1">
        <f t="shared" si="27"/>
        <v>112110</v>
      </c>
      <c r="B408" s="3" t="str">
        <f>VLOOKUP(O408,BulletType!A$1:F$35,2)&amp;VLOOKUP(P408,BulletColor!A$1:C$25,3)</f>
        <v>钱币 黄绿</v>
      </c>
      <c r="C408" s="3" t="str">
        <f t="shared" si="28"/>
        <v>Bullet112110</v>
      </c>
      <c r="D408" s="2">
        <f>VLOOKUP(O408,BulletType!A$2:N456,9)</f>
        <v>0</v>
      </c>
      <c r="E408" s="2">
        <f>VLOOKUP(O408,BulletType!A$2:N456,10)</f>
        <v>0</v>
      </c>
      <c r="F408" s="3" t="str">
        <f>CONCATENATE(VLOOKUP(O408,BulletType!A$2:I$35,8),VLOOKUP(P408,BulletColor!A$2:D$16,4))</f>
        <v>Bullet200090</v>
      </c>
      <c r="G408" s="3" t="str">
        <f>VLOOKUP(O408,BulletType!A$1:G$35,7)</f>
        <v>3,0.753</v>
      </c>
      <c r="H408" s="2">
        <f t="shared" si="26"/>
        <v>0</v>
      </c>
      <c r="I408">
        <f>VLOOKUP(O408,BulletType!A$1:F$35,3)</f>
        <v>0</v>
      </c>
      <c r="J408">
        <f>VLOOKUP(O408,BulletType!A$1:F$35,4)</f>
        <v>0</v>
      </c>
      <c r="K408">
        <f>VLOOKUP(O408,BulletType!A$1:F$35,5)</f>
        <v>8</v>
      </c>
      <c r="L408">
        <f>VLOOKUP(O408,BulletType!A$1:F$35,5)</f>
        <v>8</v>
      </c>
      <c r="M408">
        <f>VLOOKUP(O408,BulletType!A$1:F$35,6)</f>
        <v>4</v>
      </c>
      <c r="N408" s="3" t="str">
        <f>VLOOKUP(P408,BulletColor!A$2:B431,2)</f>
        <v>0.9,1,0.4</v>
      </c>
      <c r="O408">
        <v>12</v>
      </c>
      <c r="P408" s="2">
        <v>11</v>
      </c>
      <c r="Q408" s="2">
        <f t="shared" si="25"/>
        <v>0</v>
      </c>
    </row>
    <row r="409" spans="1:17" x14ac:dyDescent="0.2">
      <c r="A409" s="1">
        <f t="shared" si="27"/>
        <v>112111</v>
      </c>
      <c r="B409" s="3" t="str">
        <f>VLOOKUP(O409,BulletType!A$1:F$35,2)&amp;VLOOKUP(P409,BulletColor!A$1:C$25,3)</f>
        <v>钱币 黄绿</v>
      </c>
      <c r="C409" s="3" t="str">
        <f t="shared" si="28"/>
        <v>Bullet112110</v>
      </c>
      <c r="D409" s="2">
        <f>VLOOKUP(O409,BulletType!A$2:N457,9)</f>
        <v>0</v>
      </c>
      <c r="E409" s="2">
        <f>VLOOKUP(O409,BulletType!A$2:N457,10)</f>
        <v>0</v>
      </c>
      <c r="F409" s="3" t="str">
        <f>CONCATENATE(VLOOKUP(O409,BulletType!A$2:I$35,8),VLOOKUP(P409,BulletColor!A$2:D$16,4))</f>
        <v>Bullet200090</v>
      </c>
      <c r="G409" s="3" t="str">
        <f>VLOOKUP(O409,BulletType!A$1:G$35,7)</f>
        <v>3,0.753</v>
      </c>
      <c r="H409" s="2">
        <f t="shared" si="26"/>
        <v>1</v>
      </c>
      <c r="I409">
        <f>VLOOKUP(O409,BulletType!A$1:F$35,3)</f>
        <v>0</v>
      </c>
      <c r="J409">
        <f>VLOOKUP(O409,BulletType!A$1:F$35,4)</f>
        <v>0</v>
      </c>
      <c r="K409">
        <f>VLOOKUP(O409,BulletType!A$1:F$35,5)</f>
        <v>8</v>
      </c>
      <c r="L409">
        <f>VLOOKUP(O409,BulletType!A$1:F$35,5)</f>
        <v>8</v>
      </c>
      <c r="M409">
        <f>VLOOKUP(O409,BulletType!A$1:F$35,6)</f>
        <v>4</v>
      </c>
      <c r="N409" s="3" t="str">
        <f>VLOOKUP(P409,BulletColor!A$2:B432,2)</f>
        <v>0.9,1,0.4</v>
      </c>
      <c r="O409">
        <v>12</v>
      </c>
      <c r="P409" s="2">
        <v>11</v>
      </c>
      <c r="Q409" s="2">
        <f t="shared" si="25"/>
        <v>1</v>
      </c>
    </row>
    <row r="410" spans="1:17" x14ac:dyDescent="0.2">
      <c r="A410" s="1">
        <f t="shared" si="27"/>
        <v>112120</v>
      </c>
      <c r="B410" s="3" t="str">
        <f>VLOOKUP(O410,BulletType!A$1:F$35,2)&amp;VLOOKUP(P410,BulletColor!A$1:C$25,3)</f>
        <v>钱币 深黄</v>
      </c>
      <c r="C410" s="3" t="str">
        <f t="shared" si="28"/>
        <v>Bullet112120</v>
      </c>
      <c r="D410" s="2">
        <f>VLOOKUP(O410,BulletType!A$2:N458,9)</f>
        <v>0</v>
      </c>
      <c r="E410" s="2">
        <f>VLOOKUP(O410,BulletType!A$2:N458,10)</f>
        <v>0</v>
      </c>
      <c r="F410" s="3" t="str">
        <f>CONCATENATE(VLOOKUP(O410,BulletType!A$2:I$35,8),VLOOKUP(P410,BulletColor!A$2:D$16,4))</f>
        <v>Bullet200090</v>
      </c>
      <c r="G410" s="3" t="str">
        <f>VLOOKUP(O410,BulletType!A$1:G$35,7)</f>
        <v>3,0.753</v>
      </c>
      <c r="H410" s="2">
        <f t="shared" si="26"/>
        <v>0</v>
      </c>
      <c r="I410">
        <f>VLOOKUP(O410,BulletType!A$1:F$35,3)</f>
        <v>0</v>
      </c>
      <c r="J410">
        <f>VLOOKUP(O410,BulletType!A$1:F$35,4)</f>
        <v>0</v>
      </c>
      <c r="K410">
        <f>VLOOKUP(O410,BulletType!A$1:F$35,5)</f>
        <v>8</v>
      </c>
      <c r="L410">
        <f>VLOOKUP(O410,BulletType!A$1:F$35,5)</f>
        <v>8</v>
      </c>
      <c r="M410">
        <f>VLOOKUP(O410,BulletType!A$1:F$35,6)</f>
        <v>4</v>
      </c>
      <c r="N410" s="3" t="str">
        <f>VLOOKUP(P410,BulletColor!A$2:B433,2)</f>
        <v>0.9,1,0.4</v>
      </c>
      <c r="O410">
        <v>12</v>
      </c>
      <c r="P410" s="2">
        <v>12</v>
      </c>
      <c r="Q410" s="2">
        <f t="shared" si="25"/>
        <v>0</v>
      </c>
    </row>
    <row r="411" spans="1:17" x14ac:dyDescent="0.2">
      <c r="A411" s="1">
        <f t="shared" si="27"/>
        <v>112121</v>
      </c>
      <c r="B411" s="3" t="str">
        <f>VLOOKUP(O411,BulletType!A$1:F$35,2)&amp;VLOOKUP(P411,BulletColor!A$1:C$25,3)</f>
        <v>钱币 深黄</v>
      </c>
      <c r="C411" s="3" t="str">
        <f t="shared" si="28"/>
        <v>Bullet112120</v>
      </c>
      <c r="D411" s="2">
        <f>VLOOKUP(O411,BulletType!A$2:N459,9)</f>
        <v>0</v>
      </c>
      <c r="E411" s="2">
        <f>VLOOKUP(O411,BulletType!A$2:N459,10)</f>
        <v>0</v>
      </c>
      <c r="F411" s="3" t="str">
        <f>CONCATENATE(VLOOKUP(O411,BulletType!A$2:I$35,8),VLOOKUP(P411,BulletColor!A$2:D$16,4))</f>
        <v>Bullet200090</v>
      </c>
      <c r="G411" s="3" t="str">
        <f>VLOOKUP(O411,BulletType!A$1:G$35,7)</f>
        <v>3,0.753</v>
      </c>
      <c r="H411" s="2">
        <f t="shared" si="26"/>
        <v>1</v>
      </c>
      <c r="I411">
        <f>VLOOKUP(O411,BulletType!A$1:F$35,3)</f>
        <v>0</v>
      </c>
      <c r="J411">
        <f>VLOOKUP(O411,BulletType!A$1:F$35,4)</f>
        <v>0</v>
      </c>
      <c r="K411">
        <f>VLOOKUP(O411,BulletType!A$1:F$35,5)</f>
        <v>8</v>
      </c>
      <c r="L411">
        <f>VLOOKUP(O411,BulletType!A$1:F$35,5)</f>
        <v>8</v>
      </c>
      <c r="M411">
        <f>VLOOKUP(O411,BulletType!A$1:F$35,6)</f>
        <v>4</v>
      </c>
      <c r="N411" s="3" t="str">
        <f>VLOOKUP(P411,BulletColor!A$2:B434,2)</f>
        <v>0.9,1,0.4</v>
      </c>
      <c r="O411">
        <v>12</v>
      </c>
      <c r="P411" s="2">
        <v>12</v>
      </c>
      <c r="Q411" s="2">
        <f t="shared" si="25"/>
        <v>1</v>
      </c>
    </row>
    <row r="412" spans="1:17" x14ac:dyDescent="0.2">
      <c r="A412" s="1">
        <f t="shared" si="27"/>
        <v>112130</v>
      </c>
      <c r="B412" s="3" t="str">
        <f>VLOOKUP(O412,BulletType!A$1:F$35,2)&amp;VLOOKUP(P412,BulletColor!A$1:C$25,3)</f>
        <v>钱币 浅黄</v>
      </c>
      <c r="C412" s="3" t="str">
        <f t="shared" si="28"/>
        <v>Bullet112130</v>
      </c>
      <c r="D412" s="2">
        <f>VLOOKUP(O412,BulletType!A$2:N460,9)</f>
        <v>0</v>
      </c>
      <c r="E412" s="2">
        <f>VLOOKUP(O412,BulletType!A$2:N460,10)</f>
        <v>0</v>
      </c>
      <c r="F412" s="3" t="str">
        <f>CONCATENATE(VLOOKUP(O412,BulletType!A$2:I$35,8),VLOOKUP(P412,BulletColor!A$2:D$16,4))</f>
        <v>Bullet200130</v>
      </c>
      <c r="G412" s="3" t="str">
        <f>VLOOKUP(O412,BulletType!A$1:G$35,7)</f>
        <v>3,0.753</v>
      </c>
      <c r="H412" s="2">
        <f t="shared" si="26"/>
        <v>0</v>
      </c>
      <c r="I412">
        <f>VLOOKUP(O412,BulletType!A$1:F$35,3)</f>
        <v>0</v>
      </c>
      <c r="J412">
        <f>VLOOKUP(O412,BulletType!A$1:F$35,4)</f>
        <v>0</v>
      </c>
      <c r="K412">
        <f>VLOOKUP(O412,BulletType!A$1:F$35,5)</f>
        <v>8</v>
      </c>
      <c r="L412">
        <f>VLOOKUP(O412,BulletType!A$1:F$35,5)</f>
        <v>8</v>
      </c>
      <c r="M412">
        <f>VLOOKUP(O412,BulletType!A$1:F$35,6)</f>
        <v>4</v>
      </c>
      <c r="N412" s="3" t="str">
        <f>VLOOKUP(P412,BulletColor!A$2:B435,2)</f>
        <v>0.9,1,0.4</v>
      </c>
      <c r="O412">
        <v>12</v>
      </c>
      <c r="P412" s="2">
        <v>13</v>
      </c>
      <c r="Q412" s="2">
        <f t="shared" si="25"/>
        <v>0</v>
      </c>
    </row>
    <row r="413" spans="1:17" x14ac:dyDescent="0.2">
      <c r="A413" s="1">
        <f t="shared" si="27"/>
        <v>112131</v>
      </c>
      <c r="B413" s="3" t="str">
        <f>VLOOKUP(O413,BulletType!A$1:F$35,2)&amp;VLOOKUP(P413,BulletColor!A$1:C$25,3)</f>
        <v>钱币 浅黄</v>
      </c>
      <c r="C413" s="3" t="str">
        <f t="shared" si="28"/>
        <v>Bullet112130</v>
      </c>
      <c r="D413" s="2">
        <f>VLOOKUP(O413,BulletType!A$2:N461,9)</f>
        <v>0</v>
      </c>
      <c r="E413" s="2">
        <f>VLOOKUP(O413,BulletType!A$2:N461,10)</f>
        <v>0</v>
      </c>
      <c r="F413" s="3" t="str">
        <f>CONCATENATE(VLOOKUP(O413,BulletType!A$2:I$35,8),VLOOKUP(P413,BulletColor!A$2:D$16,4))</f>
        <v>Bullet200130</v>
      </c>
      <c r="G413" s="3" t="str">
        <f>VLOOKUP(O413,BulletType!A$1:G$35,7)</f>
        <v>3,0.753</v>
      </c>
      <c r="H413" s="2">
        <f t="shared" si="26"/>
        <v>1</v>
      </c>
      <c r="I413">
        <f>VLOOKUP(O413,BulletType!A$1:F$35,3)</f>
        <v>0</v>
      </c>
      <c r="J413">
        <f>VLOOKUP(O413,BulletType!A$1:F$35,4)</f>
        <v>0</v>
      </c>
      <c r="K413">
        <f>VLOOKUP(O413,BulletType!A$1:F$35,5)</f>
        <v>8</v>
      </c>
      <c r="L413">
        <f>VLOOKUP(O413,BulletType!A$1:F$35,5)</f>
        <v>8</v>
      </c>
      <c r="M413">
        <f>VLOOKUP(O413,BulletType!A$1:F$35,6)</f>
        <v>4</v>
      </c>
      <c r="N413" s="3" t="str">
        <f>VLOOKUP(P413,BulletColor!A$2:B436,2)</f>
        <v>0.9,1,0.4</v>
      </c>
      <c r="O413">
        <v>12</v>
      </c>
      <c r="P413" s="2">
        <v>13</v>
      </c>
      <c r="Q413" s="2">
        <f t="shared" si="25"/>
        <v>1</v>
      </c>
    </row>
    <row r="414" spans="1:17" x14ac:dyDescent="0.2">
      <c r="A414" s="1">
        <f t="shared" si="27"/>
        <v>112140</v>
      </c>
      <c r="B414" s="3" t="str">
        <f>VLOOKUP(O414,BulletType!A$1:F$35,2)&amp;VLOOKUP(P414,BulletColor!A$1:C$25,3)</f>
        <v>钱币 棕黄</v>
      </c>
      <c r="C414" s="3" t="str">
        <f t="shared" si="28"/>
        <v>Bullet112140</v>
      </c>
      <c r="D414" s="2">
        <f>VLOOKUP(O414,BulletType!A$2:N462,9)</f>
        <v>0</v>
      </c>
      <c r="E414" s="2">
        <f>VLOOKUP(O414,BulletType!A$2:N462,10)</f>
        <v>0</v>
      </c>
      <c r="F414" s="3" t="str">
        <f>CONCATENATE(VLOOKUP(O414,BulletType!A$2:I$35,8),VLOOKUP(P414,BulletColor!A$2:D$16,4))</f>
        <v>Bullet200130</v>
      </c>
      <c r="G414" s="3" t="str">
        <f>VLOOKUP(O414,BulletType!A$1:G$35,7)</f>
        <v>3,0.753</v>
      </c>
      <c r="H414" s="2">
        <f t="shared" si="26"/>
        <v>0</v>
      </c>
      <c r="I414">
        <f>VLOOKUP(O414,BulletType!A$1:F$35,3)</f>
        <v>0</v>
      </c>
      <c r="J414">
        <f>VLOOKUP(O414,BulletType!A$1:F$35,4)</f>
        <v>0</v>
      </c>
      <c r="K414">
        <f>VLOOKUP(O414,BulletType!A$1:F$35,5)</f>
        <v>8</v>
      </c>
      <c r="L414">
        <f>VLOOKUP(O414,BulletType!A$1:F$35,5)</f>
        <v>8</v>
      </c>
      <c r="M414">
        <f>VLOOKUP(O414,BulletType!A$1:F$35,6)</f>
        <v>4</v>
      </c>
      <c r="N414" s="3" t="str">
        <f>VLOOKUP(P414,BulletColor!A$2:B437,2)</f>
        <v>0.9,1,0.4</v>
      </c>
      <c r="O414">
        <v>12</v>
      </c>
      <c r="P414" s="2">
        <v>14</v>
      </c>
      <c r="Q414" s="2">
        <f t="shared" si="25"/>
        <v>0</v>
      </c>
    </row>
    <row r="415" spans="1:17" x14ac:dyDescent="0.2">
      <c r="A415" s="1">
        <f t="shared" si="27"/>
        <v>112141</v>
      </c>
      <c r="B415" s="3" t="str">
        <f>VLOOKUP(O415,BulletType!A$1:F$35,2)&amp;VLOOKUP(P415,BulletColor!A$1:C$25,3)</f>
        <v>钱币 棕黄</v>
      </c>
      <c r="C415" s="3" t="str">
        <f t="shared" si="28"/>
        <v>Bullet112140</v>
      </c>
      <c r="D415" s="2">
        <f>VLOOKUP(O415,BulletType!A$2:N463,9)</f>
        <v>0</v>
      </c>
      <c r="E415" s="2">
        <f>VLOOKUP(O415,BulletType!A$2:N463,10)</f>
        <v>0</v>
      </c>
      <c r="F415" s="3" t="str">
        <f>CONCATENATE(VLOOKUP(O415,BulletType!A$2:I$35,8),VLOOKUP(P415,BulletColor!A$2:D$16,4))</f>
        <v>Bullet200130</v>
      </c>
      <c r="G415" s="3" t="str">
        <f>VLOOKUP(O415,BulletType!A$1:G$35,7)</f>
        <v>3,0.753</v>
      </c>
      <c r="H415" s="2">
        <f t="shared" si="26"/>
        <v>1</v>
      </c>
      <c r="I415">
        <f>VLOOKUP(O415,BulletType!A$1:F$35,3)</f>
        <v>0</v>
      </c>
      <c r="J415">
        <f>VLOOKUP(O415,BulletType!A$1:F$35,4)</f>
        <v>0</v>
      </c>
      <c r="K415">
        <f>VLOOKUP(O415,BulletType!A$1:F$35,5)</f>
        <v>8</v>
      </c>
      <c r="L415">
        <f>VLOOKUP(O415,BulletType!A$1:F$35,5)</f>
        <v>8</v>
      </c>
      <c r="M415">
        <f>VLOOKUP(O415,BulletType!A$1:F$35,6)</f>
        <v>4</v>
      </c>
      <c r="N415" s="3" t="str">
        <f>VLOOKUP(P415,BulletColor!A$2:B438,2)</f>
        <v>0.9,1,0.4</v>
      </c>
      <c r="O415">
        <v>12</v>
      </c>
      <c r="P415" s="2">
        <v>14</v>
      </c>
      <c r="Q415" s="2">
        <f t="shared" si="25"/>
        <v>1</v>
      </c>
    </row>
    <row r="416" spans="1:17" x14ac:dyDescent="0.2">
      <c r="A416" s="1">
        <f t="shared" si="27"/>
        <v>112150</v>
      </c>
      <c r="B416" s="3" t="str">
        <f>VLOOKUP(O416,BulletType!A$1:F$35,2)&amp;VLOOKUP(P416,BulletColor!A$1:C$25,3)</f>
        <v>钱币 白</v>
      </c>
      <c r="C416" s="3" t="str">
        <f t="shared" si="28"/>
        <v>Bullet112150</v>
      </c>
      <c r="D416" s="2">
        <f>VLOOKUP(O416,BulletType!A$2:N464,9)</f>
        <v>0</v>
      </c>
      <c r="E416" s="2">
        <f>VLOOKUP(O416,BulletType!A$2:N464,10)</f>
        <v>0</v>
      </c>
      <c r="F416" s="3" t="str">
        <f>CONCATENATE(VLOOKUP(O416,BulletType!A$2:I$35,8),VLOOKUP(P416,BulletColor!A$2:D$16,4))</f>
        <v>Bullet200130</v>
      </c>
      <c r="G416" s="3" t="str">
        <f>VLOOKUP(O416,BulletType!A$1:G$35,7)</f>
        <v>3,0.753</v>
      </c>
      <c r="H416" s="2">
        <f t="shared" si="26"/>
        <v>0</v>
      </c>
      <c r="I416">
        <f>VLOOKUP(O416,BulletType!A$1:F$35,3)</f>
        <v>0</v>
      </c>
      <c r="J416">
        <f>VLOOKUP(O416,BulletType!A$1:F$35,4)</f>
        <v>0</v>
      </c>
      <c r="K416">
        <f>VLOOKUP(O416,BulletType!A$1:F$35,5)</f>
        <v>8</v>
      </c>
      <c r="L416">
        <f>VLOOKUP(O416,BulletType!A$1:F$35,5)</f>
        <v>8</v>
      </c>
      <c r="M416">
        <f>VLOOKUP(O416,BulletType!A$1:F$35,6)</f>
        <v>4</v>
      </c>
      <c r="N416" s="3" t="str">
        <f>VLOOKUP(P416,BulletColor!A$2:B439,2)</f>
        <v>0.8,0.8,0.8</v>
      </c>
      <c r="O416">
        <v>12</v>
      </c>
      <c r="P416" s="2">
        <v>15</v>
      </c>
      <c r="Q416" s="2">
        <f t="shared" si="25"/>
        <v>0</v>
      </c>
    </row>
    <row r="417" spans="1:17" x14ac:dyDescent="0.2">
      <c r="A417" s="1">
        <f t="shared" si="27"/>
        <v>112151</v>
      </c>
      <c r="B417" s="3" t="str">
        <f>VLOOKUP(O417,BulletType!A$1:F$35,2)&amp;VLOOKUP(P417,BulletColor!A$1:C$25,3)</f>
        <v>钱币 白</v>
      </c>
      <c r="C417" s="3" t="str">
        <f t="shared" si="28"/>
        <v>Bullet112150</v>
      </c>
      <c r="D417" s="2">
        <f>VLOOKUP(O417,BulletType!A$2:N465,9)</f>
        <v>0</v>
      </c>
      <c r="E417" s="2">
        <f>VLOOKUP(O417,BulletType!A$2:N465,10)</f>
        <v>0</v>
      </c>
      <c r="F417" s="3" t="str">
        <f>CONCATENATE(VLOOKUP(O417,BulletType!A$2:I$35,8),VLOOKUP(P417,BulletColor!A$2:D$16,4))</f>
        <v>Bullet200130</v>
      </c>
      <c r="G417" s="3" t="str">
        <f>VLOOKUP(O417,BulletType!A$1:G$35,7)</f>
        <v>3,0.753</v>
      </c>
      <c r="H417" s="2">
        <f t="shared" si="26"/>
        <v>1</v>
      </c>
      <c r="I417">
        <f>VLOOKUP(O417,BulletType!A$1:F$35,3)</f>
        <v>0</v>
      </c>
      <c r="J417">
        <f>VLOOKUP(O417,BulletType!A$1:F$35,4)</f>
        <v>0</v>
      </c>
      <c r="K417">
        <f>VLOOKUP(O417,BulletType!A$1:F$35,5)</f>
        <v>8</v>
      </c>
      <c r="L417">
        <f>VLOOKUP(O417,BulletType!A$1:F$35,5)</f>
        <v>8</v>
      </c>
      <c r="M417">
        <f>VLOOKUP(O417,BulletType!A$1:F$35,6)</f>
        <v>4</v>
      </c>
      <c r="N417" s="3" t="str">
        <f>VLOOKUP(P417,BulletColor!A$2:B440,2)</f>
        <v>0.8,0.8,0.8</v>
      </c>
      <c r="O417">
        <v>12</v>
      </c>
      <c r="P417" s="2">
        <v>15</v>
      </c>
      <c r="Q417" s="2">
        <f t="shared" si="25"/>
        <v>1</v>
      </c>
    </row>
    <row r="418" spans="1:17" x14ac:dyDescent="0.2">
      <c r="A418" s="1">
        <f t="shared" si="27"/>
        <v>113000</v>
      </c>
      <c r="B418" s="3" t="str">
        <f>VLOOKUP(O418,BulletType!A$1:F$35,2)&amp;VLOOKUP(P418,BulletColor!A$1:C$25,3)</f>
        <v>中玉 灰</v>
      </c>
      <c r="C418" s="3" t="str">
        <f t="shared" si="28"/>
        <v>Bullet113000</v>
      </c>
      <c r="D418" s="2">
        <f>VLOOKUP(O418,BulletType!A$2:N466,9)</f>
        <v>0</v>
      </c>
      <c r="E418" s="2">
        <f>VLOOKUP(O418,BulletType!A$2:N466,10)</f>
        <v>0</v>
      </c>
      <c r="F418" s="3" t="str">
        <f>CONCATENATE(VLOOKUP(O418,BulletType!A$2:I$35,8),VLOOKUP(P418,BulletColor!A$2:D$16,4))</f>
        <v>Bullet200000</v>
      </c>
      <c r="G418" s="3" t="str">
        <f>VLOOKUP(O418,BulletType!A$1:G$35,7)</f>
        <v>4,1</v>
      </c>
      <c r="H418" s="2">
        <f t="shared" si="26"/>
        <v>0</v>
      </c>
      <c r="I418">
        <f>VLOOKUP(O418,BulletType!A$1:F$35,3)</f>
        <v>0</v>
      </c>
      <c r="J418">
        <f>VLOOKUP(O418,BulletType!A$1:F$35,4)</f>
        <v>0</v>
      </c>
      <c r="K418">
        <f>VLOOKUP(O418,BulletType!A$1:F$35,5)</f>
        <v>17</v>
      </c>
      <c r="L418">
        <f>VLOOKUP(O418,BulletType!A$1:F$35,5)</f>
        <v>17</v>
      </c>
      <c r="M418">
        <f>VLOOKUP(O418,BulletType!A$1:F$35,6)</f>
        <v>8.5</v>
      </c>
      <c r="N418" s="3" t="str">
        <f>VLOOKUP(P418,BulletColor!A$2:B441,2)</f>
        <v>0.5,0.5,0.5</v>
      </c>
      <c r="O418">
        <v>13</v>
      </c>
      <c r="P418" s="2">
        <v>0</v>
      </c>
      <c r="Q418" s="2">
        <f t="shared" si="25"/>
        <v>0</v>
      </c>
    </row>
    <row r="419" spans="1:17" x14ac:dyDescent="0.2">
      <c r="A419" s="1">
        <f t="shared" si="27"/>
        <v>113001</v>
      </c>
      <c r="B419" s="3" t="str">
        <f>VLOOKUP(O419,BulletType!A$1:F$35,2)&amp;VLOOKUP(P419,BulletColor!A$1:C$25,3)</f>
        <v>中玉 灰</v>
      </c>
      <c r="C419" s="3" t="str">
        <f t="shared" si="28"/>
        <v>Bullet113000</v>
      </c>
      <c r="D419" s="2">
        <f>VLOOKUP(O419,BulletType!A$2:N467,9)</f>
        <v>0</v>
      </c>
      <c r="E419" s="2">
        <f>VLOOKUP(O419,BulletType!A$2:N467,10)</f>
        <v>0</v>
      </c>
      <c r="F419" s="3" t="str">
        <f>CONCATENATE(VLOOKUP(O419,BulletType!A$2:I$35,8),VLOOKUP(P419,BulletColor!A$2:D$16,4))</f>
        <v>Bullet200000</v>
      </c>
      <c r="G419" s="3" t="str">
        <f>VLOOKUP(O419,BulletType!A$1:G$35,7)</f>
        <v>4,1</v>
      </c>
      <c r="H419" s="2">
        <f t="shared" si="26"/>
        <v>1</v>
      </c>
      <c r="I419">
        <f>VLOOKUP(O419,BulletType!A$1:F$35,3)</f>
        <v>0</v>
      </c>
      <c r="J419">
        <f>VLOOKUP(O419,BulletType!A$1:F$35,4)</f>
        <v>0</v>
      </c>
      <c r="K419">
        <f>VLOOKUP(O419,BulletType!A$1:F$35,5)</f>
        <v>17</v>
      </c>
      <c r="L419">
        <f>VLOOKUP(O419,BulletType!A$1:F$35,5)</f>
        <v>17</v>
      </c>
      <c r="M419">
        <f>VLOOKUP(O419,BulletType!A$1:F$35,6)</f>
        <v>8.5</v>
      </c>
      <c r="N419" s="3" t="str">
        <f>VLOOKUP(P419,BulletColor!A$2:B442,2)</f>
        <v>0.5,0.5,0.5</v>
      </c>
      <c r="O419">
        <v>13</v>
      </c>
      <c r="P419" s="2">
        <v>0</v>
      </c>
      <c r="Q419" s="2">
        <f t="shared" si="25"/>
        <v>1</v>
      </c>
    </row>
    <row r="420" spans="1:17" x14ac:dyDescent="0.2">
      <c r="A420" s="1">
        <f t="shared" si="27"/>
        <v>113010</v>
      </c>
      <c r="B420" s="3" t="str">
        <f>VLOOKUP(O420,BulletType!A$1:F$35,2)&amp;VLOOKUP(P420,BulletColor!A$1:C$25,3)</f>
        <v>中玉 深红</v>
      </c>
      <c r="C420" s="3" t="str">
        <f t="shared" si="28"/>
        <v>Bullet113010</v>
      </c>
      <c r="D420" s="2">
        <f>VLOOKUP(O420,BulletType!A$2:N468,9)</f>
        <v>0</v>
      </c>
      <c r="E420" s="2">
        <f>VLOOKUP(O420,BulletType!A$2:N468,10)</f>
        <v>0</v>
      </c>
      <c r="F420" s="3" t="str">
        <f>CONCATENATE(VLOOKUP(O420,BulletType!A$2:I$35,8),VLOOKUP(P420,BulletColor!A$2:D$16,4))</f>
        <v>Bullet200010</v>
      </c>
      <c r="G420" s="3" t="str">
        <f>VLOOKUP(O420,BulletType!A$1:G$35,7)</f>
        <v>4,1</v>
      </c>
      <c r="H420" s="2">
        <f t="shared" si="26"/>
        <v>0</v>
      </c>
      <c r="I420">
        <f>VLOOKUP(O420,BulletType!A$1:F$35,3)</f>
        <v>0</v>
      </c>
      <c r="J420">
        <f>VLOOKUP(O420,BulletType!A$1:F$35,4)</f>
        <v>0</v>
      </c>
      <c r="K420">
        <f>VLOOKUP(O420,BulletType!A$1:F$35,5)</f>
        <v>17</v>
      </c>
      <c r="L420">
        <f>VLOOKUP(O420,BulletType!A$1:F$35,5)</f>
        <v>17</v>
      </c>
      <c r="M420">
        <f>VLOOKUP(O420,BulletType!A$1:F$35,6)</f>
        <v>8.5</v>
      </c>
      <c r="N420" s="3" t="str">
        <f>VLOOKUP(P420,BulletColor!A$2:B443,2)</f>
        <v>0.625,0.3,0.3</v>
      </c>
      <c r="O420">
        <v>13</v>
      </c>
      <c r="P420" s="2">
        <v>1</v>
      </c>
      <c r="Q420" s="2">
        <f t="shared" si="25"/>
        <v>0</v>
      </c>
    </row>
    <row r="421" spans="1:17" x14ac:dyDescent="0.2">
      <c r="A421" s="1">
        <f t="shared" si="27"/>
        <v>113011</v>
      </c>
      <c r="B421" s="3" t="str">
        <f>VLOOKUP(O421,BulletType!A$1:F$35,2)&amp;VLOOKUP(P421,BulletColor!A$1:C$25,3)</f>
        <v>中玉 深红</v>
      </c>
      <c r="C421" s="3" t="str">
        <f t="shared" si="28"/>
        <v>Bullet113010</v>
      </c>
      <c r="D421" s="2">
        <f>VLOOKUP(O421,BulletType!A$2:N469,9)</f>
        <v>0</v>
      </c>
      <c r="E421" s="2">
        <f>VLOOKUP(O421,BulletType!A$2:N469,10)</f>
        <v>0</v>
      </c>
      <c r="F421" s="3" t="str">
        <f>CONCATENATE(VLOOKUP(O421,BulletType!A$2:I$35,8),VLOOKUP(P421,BulletColor!A$2:D$16,4))</f>
        <v>Bullet200010</v>
      </c>
      <c r="G421" s="3" t="str">
        <f>VLOOKUP(O421,BulletType!A$1:G$35,7)</f>
        <v>4,1</v>
      </c>
      <c r="H421" s="2">
        <f t="shared" si="26"/>
        <v>1</v>
      </c>
      <c r="I421">
        <f>VLOOKUP(O421,BulletType!A$1:F$35,3)</f>
        <v>0</v>
      </c>
      <c r="J421">
        <f>VLOOKUP(O421,BulletType!A$1:F$35,4)</f>
        <v>0</v>
      </c>
      <c r="K421">
        <f>VLOOKUP(O421,BulletType!A$1:F$35,5)</f>
        <v>17</v>
      </c>
      <c r="L421">
        <f>VLOOKUP(O421,BulletType!A$1:F$35,5)</f>
        <v>17</v>
      </c>
      <c r="M421">
        <f>VLOOKUP(O421,BulletType!A$1:F$35,6)</f>
        <v>8.5</v>
      </c>
      <c r="N421" s="3" t="str">
        <f>VLOOKUP(P421,BulletColor!A$2:B444,2)</f>
        <v>0.625,0.3,0.3</v>
      </c>
      <c r="O421">
        <v>13</v>
      </c>
      <c r="P421" s="2">
        <v>1</v>
      </c>
      <c r="Q421" s="2">
        <f t="shared" si="25"/>
        <v>1</v>
      </c>
    </row>
    <row r="422" spans="1:17" x14ac:dyDescent="0.2">
      <c r="A422" s="1">
        <f t="shared" si="27"/>
        <v>113020</v>
      </c>
      <c r="B422" s="3" t="str">
        <f>VLOOKUP(O422,BulletType!A$1:F$35,2)&amp;VLOOKUP(P422,BulletColor!A$1:C$25,3)</f>
        <v>中玉 红</v>
      </c>
      <c r="C422" s="3" t="str">
        <f t="shared" si="28"/>
        <v>Bullet113020</v>
      </c>
      <c r="D422" s="2">
        <f>VLOOKUP(O422,BulletType!A$2:N470,9)</f>
        <v>0</v>
      </c>
      <c r="E422" s="2">
        <f>VLOOKUP(O422,BulletType!A$2:N470,10)</f>
        <v>0</v>
      </c>
      <c r="F422" s="3" t="str">
        <f>CONCATENATE(VLOOKUP(O422,BulletType!A$2:I$35,8),VLOOKUP(P422,BulletColor!A$2:D$16,4))</f>
        <v>Bullet200010</v>
      </c>
      <c r="G422" s="3" t="str">
        <f>VLOOKUP(O422,BulletType!A$1:G$35,7)</f>
        <v>4,1</v>
      </c>
      <c r="H422" s="2">
        <f t="shared" si="26"/>
        <v>0</v>
      </c>
      <c r="I422">
        <f>VLOOKUP(O422,BulletType!A$1:F$35,3)</f>
        <v>0</v>
      </c>
      <c r="J422">
        <f>VLOOKUP(O422,BulletType!A$1:F$35,4)</f>
        <v>0</v>
      </c>
      <c r="K422">
        <f>VLOOKUP(O422,BulletType!A$1:F$35,5)</f>
        <v>17</v>
      </c>
      <c r="L422">
        <f>VLOOKUP(O422,BulletType!A$1:F$35,5)</f>
        <v>17</v>
      </c>
      <c r="M422">
        <f>VLOOKUP(O422,BulletType!A$1:F$35,6)</f>
        <v>8.5</v>
      </c>
      <c r="N422" s="3" t="str">
        <f>VLOOKUP(P422,BulletColor!A$2:B445,2)</f>
        <v>0.8,0.3,0.3</v>
      </c>
      <c r="O422">
        <v>13</v>
      </c>
      <c r="P422" s="2">
        <v>2</v>
      </c>
      <c r="Q422" s="2">
        <f t="shared" si="25"/>
        <v>0</v>
      </c>
    </row>
    <row r="423" spans="1:17" x14ac:dyDescent="0.2">
      <c r="A423" s="1">
        <f t="shared" si="27"/>
        <v>113021</v>
      </c>
      <c r="B423" s="3" t="str">
        <f>VLOOKUP(O423,BulletType!A$1:F$35,2)&amp;VLOOKUP(P423,BulletColor!A$1:C$25,3)</f>
        <v>中玉 红</v>
      </c>
      <c r="C423" s="3" t="str">
        <f t="shared" si="28"/>
        <v>Bullet113020</v>
      </c>
      <c r="D423" s="2">
        <f>VLOOKUP(O423,BulletType!A$2:N471,9)</f>
        <v>0</v>
      </c>
      <c r="E423" s="2">
        <f>VLOOKUP(O423,BulletType!A$2:N471,10)</f>
        <v>0</v>
      </c>
      <c r="F423" s="3" t="str">
        <f>CONCATENATE(VLOOKUP(O423,BulletType!A$2:I$35,8),VLOOKUP(P423,BulletColor!A$2:D$16,4))</f>
        <v>Bullet200010</v>
      </c>
      <c r="G423" s="3" t="str">
        <f>VLOOKUP(O423,BulletType!A$1:G$35,7)</f>
        <v>4,1</v>
      </c>
      <c r="H423" s="2">
        <f t="shared" si="26"/>
        <v>1</v>
      </c>
      <c r="I423">
        <f>VLOOKUP(O423,BulletType!A$1:F$35,3)</f>
        <v>0</v>
      </c>
      <c r="J423">
        <f>VLOOKUP(O423,BulletType!A$1:F$35,4)</f>
        <v>0</v>
      </c>
      <c r="K423">
        <f>VLOOKUP(O423,BulletType!A$1:F$35,5)</f>
        <v>17</v>
      </c>
      <c r="L423">
        <f>VLOOKUP(O423,BulletType!A$1:F$35,5)</f>
        <v>17</v>
      </c>
      <c r="M423">
        <f>VLOOKUP(O423,BulletType!A$1:F$35,6)</f>
        <v>8.5</v>
      </c>
      <c r="N423" s="3" t="str">
        <f>VLOOKUP(P423,BulletColor!A$2:B446,2)</f>
        <v>0.8,0.3,0.3</v>
      </c>
      <c r="O423">
        <v>13</v>
      </c>
      <c r="P423" s="2">
        <v>2</v>
      </c>
      <c r="Q423" s="2">
        <f t="shared" si="25"/>
        <v>1</v>
      </c>
    </row>
    <row r="424" spans="1:17" x14ac:dyDescent="0.2">
      <c r="A424" s="1">
        <f t="shared" si="27"/>
        <v>113030</v>
      </c>
      <c r="B424" s="3" t="str">
        <f>VLOOKUP(O424,BulletType!A$1:F$35,2)&amp;VLOOKUP(P424,BulletColor!A$1:C$25,3)</f>
        <v>中玉 深紫</v>
      </c>
      <c r="C424" s="3" t="str">
        <f t="shared" si="28"/>
        <v>Bullet113030</v>
      </c>
      <c r="D424" s="2">
        <f>VLOOKUP(O424,BulletType!A$2:N472,9)</f>
        <v>0</v>
      </c>
      <c r="E424" s="2">
        <f>VLOOKUP(O424,BulletType!A$2:N472,10)</f>
        <v>0</v>
      </c>
      <c r="F424" s="3" t="str">
        <f>CONCATENATE(VLOOKUP(O424,BulletType!A$2:I$35,8),VLOOKUP(P424,BulletColor!A$2:D$16,4))</f>
        <v>Bullet200030</v>
      </c>
      <c r="G424" s="3" t="str">
        <f>VLOOKUP(O424,BulletType!A$1:G$35,7)</f>
        <v>4,1</v>
      </c>
      <c r="H424" s="2">
        <f t="shared" si="26"/>
        <v>0</v>
      </c>
      <c r="I424">
        <f>VLOOKUP(O424,BulletType!A$1:F$35,3)</f>
        <v>0</v>
      </c>
      <c r="J424">
        <f>VLOOKUP(O424,BulletType!A$1:F$35,4)</f>
        <v>0</v>
      </c>
      <c r="K424">
        <f>VLOOKUP(O424,BulletType!A$1:F$35,5)</f>
        <v>17</v>
      </c>
      <c r="L424">
        <f>VLOOKUP(O424,BulletType!A$1:F$35,5)</f>
        <v>17</v>
      </c>
      <c r="M424">
        <f>VLOOKUP(O424,BulletType!A$1:F$35,6)</f>
        <v>8.5</v>
      </c>
      <c r="N424" s="3" t="str">
        <f>VLOOKUP(P424,BulletColor!A$2:B447,2)</f>
        <v>1,0.65,1</v>
      </c>
      <c r="O424">
        <v>13</v>
      </c>
      <c r="P424" s="2">
        <v>3</v>
      </c>
      <c r="Q424" s="2">
        <f t="shared" si="25"/>
        <v>0</v>
      </c>
    </row>
    <row r="425" spans="1:17" x14ac:dyDescent="0.2">
      <c r="A425" s="1">
        <f t="shared" si="27"/>
        <v>113031</v>
      </c>
      <c r="B425" s="3" t="str">
        <f>VLOOKUP(O425,BulletType!A$1:F$35,2)&amp;VLOOKUP(P425,BulletColor!A$1:C$25,3)</f>
        <v>中玉 深紫</v>
      </c>
      <c r="C425" s="3" t="str">
        <f t="shared" si="28"/>
        <v>Bullet113030</v>
      </c>
      <c r="D425" s="2">
        <f>VLOOKUP(O425,BulletType!A$2:N473,9)</f>
        <v>0</v>
      </c>
      <c r="E425" s="2">
        <f>VLOOKUP(O425,BulletType!A$2:N473,10)</f>
        <v>0</v>
      </c>
      <c r="F425" s="3" t="str">
        <f>CONCATENATE(VLOOKUP(O425,BulletType!A$2:I$35,8),VLOOKUP(P425,BulletColor!A$2:D$16,4))</f>
        <v>Bullet200030</v>
      </c>
      <c r="G425" s="3" t="str">
        <f>VLOOKUP(O425,BulletType!A$1:G$35,7)</f>
        <v>4,1</v>
      </c>
      <c r="H425" s="2">
        <f t="shared" si="26"/>
        <v>1</v>
      </c>
      <c r="I425">
        <f>VLOOKUP(O425,BulletType!A$1:F$35,3)</f>
        <v>0</v>
      </c>
      <c r="J425">
        <f>VLOOKUP(O425,BulletType!A$1:F$35,4)</f>
        <v>0</v>
      </c>
      <c r="K425">
        <f>VLOOKUP(O425,BulletType!A$1:F$35,5)</f>
        <v>17</v>
      </c>
      <c r="L425">
        <f>VLOOKUP(O425,BulletType!A$1:F$35,5)</f>
        <v>17</v>
      </c>
      <c r="M425">
        <f>VLOOKUP(O425,BulletType!A$1:F$35,6)</f>
        <v>8.5</v>
      </c>
      <c r="N425" s="3" t="str">
        <f>VLOOKUP(P425,BulletColor!A$2:B448,2)</f>
        <v>1,0.65,1</v>
      </c>
      <c r="O425">
        <v>13</v>
      </c>
      <c r="P425" s="2">
        <v>3</v>
      </c>
      <c r="Q425" s="2">
        <f t="shared" si="25"/>
        <v>1</v>
      </c>
    </row>
    <row r="426" spans="1:17" x14ac:dyDescent="0.2">
      <c r="A426" s="1">
        <f t="shared" si="27"/>
        <v>113040</v>
      </c>
      <c r="B426" s="3" t="str">
        <f>VLOOKUP(O426,BulletType!A$1:F$35,2)&amp;VLOOKUP(P426,BulletColor!A$1:C$25,3)</f>
        <v>中玉 紫</v>
      </c>
      <c r="C426" s="3" t="str">
        <f t="shared" si="28"/>
        <v>Bullet113040</v>
      </c>
      <c r="D426" s="2">
        <f>VLOOKUP(O426,BulletType!A$2:N474,9)</f>
        <v>0</v>
      </c>
      <c r="E426" s="2">
        <f>VLOOKUP(O426,BulletType!A$2:N474,10)</f>
        <v>0</v>
      </c>
      <c r="F426" s="3" t="str">
        <f>CONCATENATE(VLOOKUP(O426,BulletType!A$2:I$35,8),VLOOKUP(P426,BulletColor!A$2:D$16,4))</f>
        <v>Bullet200030</v>
      </c>
      <c r="G426" s="3" t="str">
        <f>VLOOKUP(O426,BulletType!A$1:G$35,7)</f>
        <v>4,1</v>
      </c>
      <c r="H426" s="2">
        <f t="shared" si="26"/>
        <v>0</v>
      </c>
      <c r="I426">
        <f>VLOOKUP(O426,BulletType!A$1:F$35,3)</f>
        <v>0</v>
      </c>
      <c r="J426">
        <f>VLOOKUP(O426,BulletType!A$1:F$35,4)</f>
        <v>0</v>
      </c>
      <c r="K426">
        <f>VLOOKUP(O426,BulletType!A$1:F$35,5)</f>
        <v>17</v>
      </c>
      <c r="L426">
        <f>VLOOKUP(O426,BulletType!A$1:F$35,5)</f>
        <v>17</v>
      </c>
      <c r="M426">
        <f>VLOOKUP(O426,BulletType!A$1:F$35,6)</f>
        <v>8.5</v>
      </c>
      <c r="N426" s="3" t="str">
        <f>VLOOKUP(P426,BulletColor!A$2:B449,2)</f>
        <v>1,0.65,1</v>
      </c>
      <c r="O426">
        <v>13</v>
      </c>
      <c r="P426" s="2">
        <v>4</v>
      </c>
      <c r="Q426" s="2">
        <f t="shared" si="25"/>
        <v>0</v>
      </c>
    </row>
    <row r="427" spans="1:17" x14ac:dyDescent="0.2">
      <c r="A427" s="1">
        <f t="shared" si="27"/>
        <v>113041</v>
      </c>
      <c r="B427" s="3" t="str">
        <f>VLOOKUP(O427,BulletType!A$1:F$35,2)&amp;VLOOKUP(P427,BulletColor!A$1:C$25,3)</f>
        <v>中玉 紫</v>
      </c>
      <c r="C427" s="3" t="str">
        <f t="shared" si="28"/>
        <v>Bullet113040</v>
      </c>
      <c r="D427" s="2">
        <f>VLOOKUP(O427,BulletType!A$2:N475,9)</f>
        <v>0</v>
      </c>
      <c r="E427" s="2">
        <f>VLOOKUP(O427,BulletType!A$2:N475,10)</f>
        <v>0</v>
      </c>
      <c r="F427" s="3" t="str">
        <f>CONCATENATE(VLOOKUP(O427,BulletType!A$2:I$35,8),VLOOKUP(P427,BulletColor!A$2:D$16,4))</f>
        <v>Bullet200030</v>
      </c>
      <c r="G427" s="3" t="str">
        <f>VLOOKUP(O427,BulletType!A$1:G$35,7)</f>
        <v>4,1</v>
      </c>
      <c r="H427" s="2">
        <f t="shared" si="26"/>
        <v>1</v>
      </c>
      <c r="I427">
        <f>VLOOKUP(O427,BulletType!A$1:F$35,3)</f>
        <v>0</v>
      </c>
      <c r="J427">
        <f>VLOOKUP(O427,BulletType!A$1:F$35,4)</f>
        <v>0</v>
      </c>
      <c r="K427">
        <f>VLOOKUP(O427,BulletType!A$1:F$35,5)</f>
        <v>17</v>
      </c>
      <c r="L427">
        <f>VLOOKUP(O427,BulletType!A$1:F$35,5)</f>
        <v>17</v>
      </c>
      <c r="M427">
        <f>VLOOKUP(O427,BulletType!A$1:F$35,6)</f>
        <v>8.5</v>
      </c>
      <c r="N427" s="3" t="str">
        <f>VLOOKUP(P427,BulletColor!A$2:B450,2)</f>
        <v>1,0.65,1</v>
      </c>
      <c r="O427">
        <v>13</v>
      </c>
      <c r="P427" s="2">
        <v>4</v>
      </c>
      <c r="Q427" s="2">
        <f t="shared" ref="Q427:Q490" si="29">MOD((ROW()-2),2)</f>
        <v>1</v>
      </c>
    </row>
    <row r="428" spans="1:17" x14ac:dyDescent="0.2">
      <c r="A428" s="1">
        <f t="shared" si="27"/>
        <v>113050</v>
      </c>
      <c r="B428" s="3" t="str">
        <f>VLOOKUP(O428,BulletType!A$1:F$35,2)&amp;VLOOKUP(P428,BulletColor!A$1:C$25,3)</f>
        <v>中玉 深蓝</v>
      </c>
      <c r="C428" s="3" t="str">
        <f t="shared" si="28"/>
        <v>Bullet113050</v>
      </c>
      <c r="D428" s="2">
        <f>VLOOKUP(O428,BulletType!A$2:N476,9)</f>
        <v>0</v>
      </c>
      <c r="E428" s="2">
        <f>VLOOKUP(O428,BulletType!A$2:N476,10)</f>
        <v>0</v>
      </c>
      <c r="F428" s="3" t="str">
        <f>CONCATENATE(VLOOKUP(O428,BulletType!A$2:I$35,8),VLOOKUP(P428,BulletColor!A$2:D$16,4))</f>
        <v>Bullet200050</v>
      </c>
      <c r="G428" s="3" t="str">
        <f>VLOOKUP(O428,BulletType!A$1:G$35,7)</f>
        <v>4,1</v>
      </c>
      <c r="H428" s="2">
        <f t="shared" si="26"/>
        <v>0</v>
      </c>
      <c r="I428">
        <f>VLOOKUP(O428,BulletType!A$1:F$35,3)</f>
        <v>0</v>
      </c>
      <c r="J428">
        <f>VLOOKUP(O428,BulletType!A$1:F$35,4)</f>
        <v>0</v>
      </c>
      <c r="K428">
        <f>VLOOKUP(O428,BulletType!A$1:F$35,5)</f>
        <v>17</v>
      </c>
      <c r="L428">
        <f>VLOOKUP(O428,BulletType!A$1:F$35,5)</f>
        <v>17</v>
      </c>
      <c r="M428">
        <f>VLOOKUP(O428,BulletType!A$1:F$35,6)</f>
        <v>8.5</v>
      </c>
      <c r="N428" s="3" t="str">
        <f>VLOOKUP(P428,BulletColor!A$2:B451,2)</f>
        <v>0,0.1,1</v>
      </c>
      <c r="O428">
        <v>13</v>
      </c>
      <c r="P428" s="2">
        <v>5</v>
      </c>
      <c r="Q428" s="2">
        <f t="shared" si="29"/>
        <v>0</v>
      </c>
    </row>
    <row r="429" spans="1:17" x14ac:dyDescent="0.2">
      <c r="A429" s="1">
        <f t="shared" si="27"/>
        <v>113051</v>
      </c>
      <c r="B429" s="3" t="str">
        <f>VLOOKUP(O429,BulletType!A$1:F$35,2)&amp;VLOOKUP(P429,BulletColor!A$1:C$25,3)</f>
        <v>中玉 深蓝</v>
      </c>
      <c r="C429" s="3" t="str">
        <f t="shared" si="28"/>
        <v>Bullet113050</v>
      </c>
      <c r="D429" s="2">
        <f>VLOOKUP(O429,BulletType!A$2:N477,9)</f>
        <v>0</v>
      </c>
      <c r="E429" s="2">
        <f>VLOOKUP(O429,BulletType!A$2:N477,10)</f>
        <v>0</v>
      </c>
      <c r="F429" s="3" t="str">
        <f>CONCATENATE(VLOOKUP(O429,BulletType!A$2:I$35,8),VLOOKUP(P429,BulletColor!A$2:D$16,4))</f>
        <v>Bullet200050</v>
      </c>
      <c r="G429" s="3" t="str">
        <f>VLOOKUP(O429,BulletType!A$1:G$35,7)</f>
        <v>4,1</v>
      </c>
      <c r="H429" s="2">
        <f t="shared" si="26"/>
        <v>1</v>
      </c>
      <c r="I429">
        <f>VLOOKUP(O429,BulletType!A$1:F$35,3)</f>
        <v>0</v>
      </c>
      <c r="J429">
        <f>VLOOKUP(O429,BulletType!A$1:F$35,4)</f>
        <v>0</v>
      </c>
      <c r="K429">
        <f>VLOOKUP(O429,BulletType!A$1:F$35,5)</f>
        <v>17</v>
      </c>
      <c r="L429">
        <f>VLOOKUP(O429,BulletType!A$1:F$35,5)</f>
        <v>17</v>
      </c>
      <c r="M429">
        <f>VLOOKUP(O429,BulletType!A$1:F$35,6)</f>
        <v>8.5</v>
      </c>
      <c r="N429" s="3" t="str">
        <f>VLOOKUP(P429,BulletColor!A$2:B452,2)</f>
        <v>0,0.1,1</v>
      </c>
      <c r="O429">
        <v>13</v>
      </c>
      <c r="P429" s="2">
        <v>5</v>
      </c>
      <c r="Q429" s="2">
        <f t="shared" si="29"/>
        <v>1</v>
      </c>
    </row>
    <row r="430" spans="1:17" x14ac:dyDescent="0.2">
      <c r="A430" s="1">
        <f t="shared" si="27"/>
        <v>113060</v>
      </c>
      <c r="B430" s="3" t="str">
        <f>VLOOKUP(O430,BulletType!A$1:F$35,2)&amp;VLOOKUP(P430,BulletColor!A$1:C$25,3)</f>
        <v>中玉 蓝</v>
      </c>
      <c r="C430" s="3" t="str">
        <f t="shared" si="28"/>
        <v>Bullet113060</v>
      </c>
      <c r="D430" s="2">
        <f>VLOOKUP(O430,BulletType!A$2:N478,9)</f>
        <v>0</v>
      </c>
      <c r="E430" s="2">
        <f>VLOOKUP(O430,BulletType!A$2:N478,10)</f>
        <v>0</v>
      </c>
      <c r="F430" s="3" t="str">
        <f>CONCATENATE(VLOOKUP(O430,BulletType!A$2:I$35,8),VLOOKUP(P430,BulletColor!A$2:D$16,4))</f>
        <v>Bullet200050</v>
      </c>
      <c r="G430" s="3" t="str">
        <f>VLOOKUP(O430,BulletType!A$1:G$35,7)</f>
        <v>4,1</v>
      </c>
      <c r="H430" s="2">
        <f t="shared" si="26"/>
        <v>0</v>
      </c>
      <c r="I430">
        <f>VLOOKUP(O430,BulletType!A$1:F$35,3)</f>
        <v>0</v>
      </c>
      <c r="J430">
        <f>VLOOKUP(O430,BulletType!A$1:F$35,4)</f>
        <v>0</v>
      </c>
      <c r="K430">
        <f>VLOOKUP(O430,BulletType!A$1:F$35,5)</f>
        <v>17</v>
      </c>
      <c r="L430">
        <f>VLOOKUP(O430,BulletType!A$1:F$35,5)</f>
        <v>17</v>
      </c>
      <c r="M430">
        <f>VLOOKUP(O430,BulletType!A$1:F$35,6)</f>
        <v>8.5</v>
      </c>
      <c r="N430" s="3" t="str">
        <f>VLOOKUP(P430,BulletColor!A$2:B453,2)</f>
        <v>0,0.1,1</v>
      </c>
      <c r="O430">
        <v>13</v>
      </c>
      <c r="P430" s="2">
        <v>6</v>
      </c>
      <c r="Q430" s="2">
        <f t="shared" si="29"/>
        <v>0</v>
      </c>
    </row>
    <row r="431" spans="1:17" x14ac:dyDescent="0.2">
      <c r="A431" s="1">
        <f t="shared" si="27"/>
        <v>113061</v>
      </c>
      <c r="B431" s="3" t="str">
        <f>VLOOKUP(O431,BulletType!A$1:F$35,2)&amp;VLOOKUP(P431,BulletColor!A$1:C$25,3)</f>
        <v>中玉 蓝</v>
      </c>
      <c r="C431" s="3" t="str">
        <f t="shared" si="28"/>
        <v>Bullet113060</v>
      </c>
      <c r="D431" s="2">
        <f>VLOOKUP(O431,BulletType!A$2:N479,9)</f>
        <v>0</v>
      </c>
      <c r="E431" s="2">
        <f>VLOOKUP(O431,BulletType!A$2:N479,10)</f>
        <v>0</v>
      </c>
      <c r="F431" s="3" t="str">
        <f>CONCATENATE(VLOOKUP(O431,BulletType!A$2:I$35,8),VLOOKUP(P431,BulletColor!A$2:D$16,4))</f>
        <v>Bullet200050</v>
      </c>
      <c r="G431" s="3" t="str">
        <f>VLOOKUP(O431,BulletType!A$1:G$35,7)</f>
        <v>4,1</v>
      </c>
      <c r="H431" s="2">
        <f t="shared" si="26"/>
        <v>1</v>
      </c>
      <c r="I431">
        <f>VLOOKUP(O431,BulletType!A$1:F$35,3)</f>
        <v>0</v>
      </c>
      <c r="J431">
        <f>VLOOKUP(O431,BulletType!A$1:F$35,4)</f>
        <v>0</v>
      </c>
      <c r="K431">
        <f>VLOOKUP(O431,BulletType!A$1:F$35,5)</f>
        <v>17</v>
      </c>
      <c r="L431">
        <f>VLOOKUP(O431,BulletType!A$1:F$35,5)</f>
        <v>17</v>
      </c>
      <c r="M431">
        <f>VLOOKUP(O431,BulletType!A$1:F$35,6)</f>
        <v>8.5</v>
      </c>
      <c r="N431" s="3" t="str">
        <f>VLOOKUP(P431,BulletColor!A$2:B454,2)</f>
        <v>0,0.1,1</v>
      </c>
      <c r="O431">
        <v>13</v>
      </c>
      <c r="P431" s="2">
        <v>6</v>
      </c>
      <c r="Q431" s="2">
        <f t="shared" si="29"/>
        <v>1</v>
      </c>
    </row>
    <row r="432" spans="1:17" x14ac:dyDescent="0.2">
      <c r="A432" s="1">
        <f t="shared" si="27"/>
        <v>113070</v>
      </c>
      <c r="B432" s="3" t="str">
        <f>VLOOKUP(O432,BulletType!A$1:F$35,2)&amp;VLOOKUP(P432,BulletColor!A$1:C$25,3)</f>
        <v>中玉 深青</v>
      </c>
      <c r="C432" s="3" t="str">
        <f t="shared" si="28"/>
        <v>Bullet113070</v>
      </c>
      <c r="D432" s="2">
        <f>VLOOKUP(O432,BulletType!A$2:N480,9)</f>
        <v>0</v>
      </c>
      <c r="E432" s="2">
        <f>VLOOKUP(O432,BulletType!A$2:N480,10)</f>
        <v>0</v>
      </c>
      <c r="F432" s="3" t="str">
        <f>CONCATENATE(VLOOKUP(O432,BulletType!A$2:I$35,8),VLOOKUP(P432,BulletColor!A$2:D$16,4))</f>
        <v>Bullet200070</v>
      </c>
      <c r="G432" s="3" t="str">
        <f>VLOOKUP(O432,BulletType!A$1:G$35,7)</f>
        <v>4,1</v>
      </c>
      <c r="H432" s="2">
        <f t="shared" si="26"/>
        <v>0</v>
      </c>
      <c r="I432">
        <f>VLOOKUP(O432,BulletType!A$1:F$35,3)</f>
        <v>0</v>
      </c>
      <c r="J432">
        <f>VLOOKUP(O432,BulletType!A$1:F$35,4)</f>
        <v>0</v>
      </c>
      <c r="K432">
        <f>VLOOKUP(O432,BulletType!A$1:F$35,5)</f>
        <v>17</v>
      </c>
      <c r="L432">
        <f>VLOOKUP(O432,BulletType!A$1:F$35,5)</f>
        <v>17</v>
      </c>
      <c r="M432">
        <f>VLOOKUP(O432,BulletType!A$1:F$35,6)</f>
        <v>8.5</v>
      </c>
      <c r="N432" s="3" t="str">
        <f>VLOOKUP(P432,BulletColor!A$2:B455,2)</f>
        <v>0.25,1,1</v>
      </c>
      <c r="O432">
        <v>13</v>
      </c>
      <c r="P432" s="2">
        <v>7</v>
      </c>
      <c r="Q432" s="2">
        <f t="shared" si="29"/>
        <v>0</v>
      </c>
    </row>
    <row r="433" spans="1:17" x14ac:dyDescent="0.2">
      <c r="A433" s="1">
        <f t="shared" si="27"/>
        <v>113071</v>
      </c>
      <c r="B433" s="3" t="str">
        <f>VLOOKUP(O433,BulletType!A$1:F$35,2)&amp;VLOOKUP(P433,BulletColor!A$1:C$25,3)</f>
        <v>中玉 深青</v>
      </c>
      <c r="C433" s="3" t="str">
        <f t="shared" si="28"/>
        <v>Bullet113070</v>
      </c>
      <c r="D433" s="2">
        <f>VLOOKUP(O433,BulletType!A$2:N481,9)</f>
        <v>0</v>
      </c>
      <c r="E433" s="2">
        <f>VLOOKUP(O433,BulletType!A$2:N481,10)</f>
        <v>0</v>
      </c>
      <c r="F433" s="3" t="str">
        <f>CONCATENATE(VLOOKUP(O433,BulletType!A$2:I$35,8),VLOOKUP(P433,BulletColor!A$2:D$16,4))</f>
        <v>Bullet200070</v>
      </c>
      <c r="G433" s="3" t="str">
        <f>VLOOKUP(O433,BulletType!A$1:G$35,7)</f>
        <v>4,1</v>
      </c>
      <c r="H433" s="2">
        <f t="shared" si="26"/>
        <v>1</v>
      </c>
      <c r="I433">
        <f>VLOOKUP(O433,BulletType!A$1:F$35,3)</f>
        <v>0</v>
      </c>
      <c r="J433">
        <f>VLOOKUP(O433,BulletType!A$1:F$35,4)</f>
        <v>0</v>
      </c>
      <c r="K433">
        <f>VLOOKUP(O433,BulletType!A$1:F$35,5)</f>
        <v>17</v>
      </c>
      <c r="L433">
        <f>VLOOKUP(O433,BulletType!A$1:F$35,5)</f>
        <v>17</v>
      </c>
      <c r="M433">
        <f>VLOOKUP(O433,BulletType!A$1:F$35,6)</f>
        <v>8.5</v>
      </c>
      <c r="N433" s="3" t="str">
        <f>VLOOKUP(P433,BulletColor!A$2:B456,2)</f>
        <v>0.25,1,1</v>
      </c>
      <c r="O433">
        <v>13</v>
      </c>
      <c r="P433" s="2">
        <v>7</v>
      </c>
      <c r="Q433" s="2">
        <f t="shared" si="29"/>
        <v>1</v>
      </c>
    </row>
    <row r="434" spans="1:17" x14ac:dyDescent="0.2">
      <c r="A434" s="1">
        <f t="shared" si="27"/>
        <v>113080</v>
      </c>
      <c r="B434" s="3" t="str">
        <f>VLOOKUP(O434,BulletType!A$1:F$35,2)&amp;VLOOKUP(P434,BulletColor!A$1:C$25,3)</f>
        <v>中玉 青</v>
      </c>
      <c r="C434" s="3" t="str">
        <f t="shared" si="28"/>
        <v>Bullet113080</v>
      </c>
      <c r="D434" s="2">
        <f>VLOOKUP(O434,BulletType!A$2:N482,9)</f>
        <v>0</v>
      </c>
      <c r="E434" s="2">
        <f>VLOOKUP(O434,BulletType!A$2:N482,10)</f>
        <v>0</v>
      </c>
      <c r="F434" s="3" t="str">
        <f>CONCATENATE(VLOOKUP(O434,BulletType!A$2:I$35,8),VLOOKUP(P434,BulletColor!A$2:D$16,4))</f>
        <v>Bullet200070</v>
      </c>
      <c r="G434" s="3" t="str">
        <f>VLOOKUP(O434,BulletType!A$1:G$35,7)</f>
        <v>4,1</v>
      </c>
      <c r="H434" s="2">
        <f t="shared" si="26"/>
        <v>0</v>
      </c>
      <c r="I434">
        <f>VLOOKUP(O434,BulletType!A$1:F$35,3)</f>
        <v>0</v>
      </c>
      <c r="J434">
        <f>VLOOKUP(O434,BulletType!A$1:F$35,4)</f>
        <v>0</v>
      </c>
      <c r="K434">
        <f>VLOOKUP(O434,BulletType!A$1:F$35,5)</f>
        <v>17</v>
      </c>
      <c r="L434">
        <f>VLOOKUP(O434,BulletType!A$1:F$35,5)</f>
        <v>17</v>
      </c>
      <c r="M434">
        <f>VLOOKUP(O434,BulletType!A$1:F$35,6)</f>
        <v>8.5</v>
      </c>
      <c r="N434" s="3" t="str">
        <f>VLOOKUP(P434,BulletColor!A$2:B457,2)</f>
        <v>0.25,1,1</v>
      </c>
      <c r="O434">
        <v>13</v>
      </c>
      <c r="P434" s="2">
        <v>8</v>
      </c>
      <c r="Q434" s="2">
        <f t="shared" si="29"/>
        <v>0</v>
      </c>
    </row>
    <row r="435" spans="1:17" x14ac:dyDescent="0.2">
      <c r="A435" s="1">
        <f t="shared" si="27"/>
        <v>113081</v>
      </c>
      <c r="B435" s="3" t="str">
        <f>VLOOKUP(O435,BulletType!A$1:F$35,2)&amp;VLOOKUP(P435,BulletColor!A$1:C$25,3)</f>
        <v>中玉 青</v>
      </c>
      <c r="C435" s="3" t="str">
        <f t="shared" si="28"/>
        <v>Bullet113080</v>
      </c>
      <c r="D435" s="2">
        <f>VLOOKUP(O435,BulletType!A$2:N483,9)</f>
        <v>0</v>
      </c>
      <c r="E435" s="2">
        <f>VLOOKUP(O435,BulletType!A$2:N483,10)</f>
        <v>0</v>
      </c>
      <c r="F435" s="3" t="str">
        <f>CONCATENATE(VLOOKUP(O435,BulletType!A$2:I$35,8),VLOOKUP(P435,BulletColor!A$2:D$16,4))</f>
        <v>Bullet200070</v>
      </c>
      <c r="G435" s="3" t="str">
        <f>VLOOKUP(O435,BulletType!A$1:G$35,7)</f>
        <v>4,1</v>
      </c>
      <c r="H435" s="2">
        <f t="shared" si="26"/>
        <v>1</v>
      </c>
      <c r="I435">
        <f>VLOOKUP(O435,BulletType!A$1:F$35,3)</f>
        <v>0</v>
      </c>
      <c r="J435">
        <f>VLOOKUP(O435,BulletType!A$1:F$35,4)</f>
        <v>0</v>
      </c>
      <c r="K435">
        <f>VLOOKUP(O435,BulletType!A$1:F$35,5)</f>
        <v>17</v>
      </c>
      <c r="L435">
        <f>VLOOKUP(O435,BulletType!A$1:F$35,5)</f>
        <v>17</v>
      </c>
      <c r="M435">
        <f>VLOOKUP(O435,BulletType!A$1:F$35,6)</f>
        <v>8.5</v>
      </c>
      <c r="N435" s="3" t="str">
        <f>VLOOKUP(P435,BulletColor!A$2:B458,2)</f>
        <v>0.25,1,1</v>
      </c>
      <c r="O435">
        <v>13</v>
      </c>
      <c r="P435" s="2">
        <v>8</v>
      </c>
      <c r="Q435" s="2">
        <f t="shared" si="29"/>
        <v>1</v>
      </c>
    </row>
    <row r="436" spans="1:17" x14ac:dyDescent="0.2">
      <c r="A436" s="1">
        <f t="shared" si="27"/>
        <v>113090</v>
      </c>
      <c r="B436" s="3" t="str">
        <f>VLOOKUP(O436,BulletType!A$1:F$35,2)&amp;VLOOKUP(P436,BulletColor!A$1:C$25,3)</f>
        <v>中玉 深绿</v>
      </c>
      <c r="C436" s="3" t="str">
        <f t="shared" si="28"/>
        <v>Bullet113090</v>
      </c>
      <c r="D436" s="2">
        <f>VLOOKUP(O436,BulletType!A$2:N484,9)</f>
        <v>0</v>
      </c>
      <c r="E436" s="2">
        <f>VLOOKUP(O436,BulletType!A$2:N484,10)</f>
        <v>0</v>
      </c>
      <c r="F436" s="3" t="str">
        <f>CONCATENATE(VLOOKUP(O436,BulletType!A$2:I$35,8),VLOOKUP(P436,BulletColor!A$2:D$16,4))</f>
        <v>Bullet200090</v>
      </c>
      <c r="G436" s="3" t="str">
        <f>VLOOKUP(O436,BulletType!A$1:G$35,7)</f>
        <v>4,1</v>
      </c>
      <c r="H436" s="2">
        <f t="shared" si="26"/>
        <v>0</v>
      </c>
      <c r="I436">
        <f>VLOOKUP(O436,BulletType!A$1:F$35,3)</f>
        <v>0</v>
      </c>
      <c r="J436">
        <f>VLOOKUP(O436,BulletType!A$1:F$35,4)</f>
        <v>0</v>
      </c>
      <c r="K436">
        <f>VLOOKUP(O436,BulletType!A$1:F$35,5)</f>
        <v>17</v>
      </c>
      <c r="L436">
        <f>VLOOKUP(O436,BulletType!A$1:F$35,5)</f>
        <v>17</v>
      </c>
      <c r="M436">
        <f>VLOOKUP(O436,BulletType!A$1:F$35,6)</f>
        <v>8.5</v>
      </c>
      <c r="N436" s="3" t="str">
        <f>VLOOKUP(P436,BulletColor!A$2:B459,2)</f>
        <v>0.36,0.78,1</v>
      </c>
      <c r="O436">
        <v>13</v>
      </c>
      <c r="P436" s="2">
        <v>9</v>
      </c>
      <c r="Q436" s="2">
        <f t="shared" si="29"/>
        <v>0</v>
      </c>
    </row>
    <row r="437" spans="1:17" x14ac:dyDescent="0.2">
      <c r="A437" s="1">
        <f t="shared" si="27"/>
        <v>113091</v>
      </c>
      <c r="B437" s="3" t="str">
        <f>VLOOKUP(O437,BulletType!A$1:F$35,2)&amp;VLOOKUP(P437,BulletColor!A$1:C$25,3)</f>
        <v>中玉 深绿</v>
      </c>
      <c r="C437" s="3" t="str">
        <f t="shared" si="28"/>
        <v>Bullet113090</v>
      </c>
      <c r="D437" s="2">
        <f>VLOOKUP(O437,BulletType!A$2:N485,9)</f>
        <v>0</v>
      </c>
      <c r="E437" s="2">
        <f>VLOOKUP(O437,BulletType!A$2:N485,10)</f>
        <v>0</v>
      </c>
      <c r="F437" s="3" t="str">
        <f>CONCATENATE(VLOOKUP(O437,BulletType!A$2:I$35,8),VLOOKUP(P437,BulletColor!A$2:D$16,4))</f>
        <v>Bullet200090</v>
      </c>
      <c r="G437" s="3" t="str">
        <f>VLOOKUP(O437,BulletType!A$1:G$35,7)</f>
        <v>4,1</v>
      </c>
      <c r="H437" s="2">
        <f t="shared" si="26"/>
        <v>1</v>
      </c>
      <c r="I437">
        <f>VLOOKUP(O437,BulletType!A$1:F$35,3)</f>
        <v>0</v>
      </c>
      <c r="J437">
        <f>VLOOKUP(O437,BulletType!A$1:F$35,4)</f>
        <v>0</v>
      </c>
      <c r="K437">
        <f>VLOOKUP(O437,BulletType!A$1:F$35,5)</f>
        <v>17</v>
      </c>
      <c r="L437">
        <f>VLOOKUP(O437,BulletType!A$1:F$35,5)</f>
        <v>17</v>
      </c>
      <c r="M437">
        <f>VLOOKUP(O437,BulletType!A$1:F$35,6)</f>
        <v>8.5</v>
      </c>
      <c r="N437" s="3" t="str">
        <f>VLOOKUP(P437,BulletColor!A$2:B460,2)</f>
        <v>0.36,0.78,1</v>
      </c>
      <c r="O437">
        <v>13</v>
      </c>
      <c r="P437" s="2">
        <v>9</v>
      </c>
      <c r="Q437" s="2">
        <f t="shared" si="29"/>
        <v>1</v>
      </c>
    </row>
    <row r="438" spans="1:17" x14ac:dyDescent="0.2">
      <c r="A438" s="1">
        <f t="shared" si="27"/>
        <v>113100</v>
      </c>
      <c r="B438" s="3" t="str">
        <f>VLOOKUP(O438,BulletType!A$1:F$35,2)&amp;VLOOKUP(P438,BulletColor!A$1:C$25,3)</f>
        <v>中玉 绿</v>
      </c>
      <c r="C438" s="3" t="str">
        <f t="shared" si="28"/>
        <v>Bullet113100</v>
      </c>
      <c r="D438" s="2">
        <f>VLOOKUP(O438,BulletType!A$2:N486,9)</f>
        <v>0</v>
      </c>
      <c r="E438" s="2">
        <f>VLOOKUP(O438,BulletType!A$2:N486,10)</f>
        <v>0</v>
      </c>
      <c r="F438" s="3" t="str">
        <f>CONCATENATE(VLOOKUP(O438,BulletType!A$2:I$35,8),VLOOKUP(P438,BulletColor!A$2:D$16,4))</f>
        <v>Bullet200090</v>
      </c>
      <c r="G438" s="3" t="str">
        <f>VLOOKUP(O438,BulletType!A$1:G$35,7)</f>
        <v>4,1</v>
      </c>
      <c r="H438" s="2">
        <f t="shared" si="26"/>
        <v>0</v>
      </c>
      <c r="I438">
        <f>VLOOKUP(O438,BulletType!A$1:F$35,3)</f>
        <v>0</v>
      </c>
      <c r="J438">
        <f>VLOOKUP(O438,BulletType!A$1:F$35,4)</f>
        <v>0</v>
      </c>
      <c r="K438">
        <f>VLOOKUP(O438,BulletType!A$1:F$35,5)</f>
        <v>17</v>
      </c>
      <c r="L438">
        <f>VLOOKUP(O438,BulletType!A$1:F$35,5)</f>
        <v>17</v>
      </c>
      <c r="M438">
        <f>VLOOKUP(O438,BulletType!A$1:F$35,6)</f>
        <v>8.5</v>
      </c>
      <c r="N438" s="3" t="str">
        <f>VLOOKUP(P438,BulletColor!A$2:B461,2)</f>
        <v>0.36,0.78,1</v>
      </c>
      <c r="O438">
        <v>13</v>
      </c>
      <c r="P438" s="2">
        <v>10</v>
      </c>
      <c r="Q438" s="2">
        <f t="shared" si="29"/>
        <v>0</v>
      </c>
    </row>
    <row r="439" spans="1:17" x14ac:dyDescent="0.2">
      <c r="A439" s="1">
        <f t="shared" si="27"/>
        <v>113101</v>
      </c>
      <c r="B439" s="3" t="str">
        <f>VLOOKUP(O439,BulletType!A$1:F$35,2)&amp;VLOOKUP(P439,BulletColor!A$1:C$25,3)</f>
        <v>中玉 绿</v>
      </c>
      <c r="C439" s="3" t="str">
        <f t="shared" si="28"/>
        <v>Bullet113100</v>
      </c>
      <c r="D439" s="2">
        <f>VLOOKUP(O439,BulletType!A$2:N487,9)</f>
        <v>0</v>
      </c>
      <c r="E439" s="2">
        <f>VLOOKUP(O439,BulletType!A$2:N487,10)</f>
        <v>0</v>
      </c>
      <c r="F439" s="3" t="str">
        <f>CONCATENATE(VLOOKUP(O439,BulletType!A$2:I$35,8),VLOOKUP(P439,BulletColor!A$2:D$16,4))</f>
        <v>Bullet200090</v>
      </c>
      <c r="G439" s="3" t="str">
        <f>VLOOKUP(O439,BulletType!A$1:G$35,7)</f>
        <v>4,1</v>
      </c>
      <c r="H439" s="2">
        <f t="shared" si="26"/>
        <v>1</v>
      </c>
      <c r="I439">
        <f>VLOOKUP(O439,BulletType!A$1:F$35,3)</f>
        <v>0</v>
      </c>
      <c r="J439">
        <f>VLOOKUP(O439,BulletType!A$1:F$35,4)</f>
        <v>0</v>
      </c>
      <c r="K439">
        <f>VLOOKUP(O439,BulletType!A$1:F$35,5)</f>
        <v>17</v>
      </c>
      <c r="L439">
        <f>VLOOKUP(O439,BulletType!A$1:F$35,5)</f>
        <v>17</v>
      </c>
      <c r="M439">
        <f>VLOOKUP(O439,BulletType!A$1:F$35,6)</f>
        <v>8.5</v>
      </c>
      <c r="N439" s="3" t="str">
        <f>VLOOKUP(P439,BulletColor!A$2:B462,2)</f>
        <v>0.36,0.78,1</v>
      </c>
      <c r="O439">
        <v>13</v>
      </c>
      <c r="P439" s="2">
        <v>10</v>
      </c>
      <c r="Q439" s="2">
        <f t="shared" si="29"/>
        <v>1</v>
      </c>
    </row>
    <row r="440" spans="1:17" x14ac:dyDescent="0.2">
      <c r="A440" s="1">
        <f t="shared" si="27"/>
        <v>113110</v>
      </c>
      <c r="B440" s="3" t="str">
        <f>VLOOKUP(O440,BulletType!A$1:F$35,2)&amp;VLOOKUP(P440,BulletColor!A$1:C$25,3)</f>
        <v>中玉 黄绿</v>
      </c>
      <c r="C440" s="3" t="str">
        <f t="shared" si="28"/>
        <v>Bullet113110</v>
      </c>
      <c r="D440" s="2">
        <f>VLOOKUP(O440,BulletType!A$2:N488,9)</f>
        <v>0</v>
      </c>
      <c r="E440" s="2">
        <f>VLOOKUP(O440,BulletType!A$2:N488,10)</f>
        <v>0</v>
      </c>
      <c r="F440" s="3" t="str">
        <f>CONCATENATE(VLOOKUP(O440,BulletType!A$2:I$35,8),VLOOKUP(P440,BulletColor!A$2:D$16,4))</f>
        <v>Bullet200090</v>
      </c>
      <c r="G440" s="3" t="str">
        <f>VLOOKUP(O440,BulletType!A$1:G$35,7)</f>
        <v>4,1</v>
      </c>
      <c r="H440" s="2">
        <f t="shared" si="26"/>
        <v>0</v>
      </c>
      <c r="I440">
        <f>VLOOKUP(O440,BulletType!A$1:F$35,3)</f>
        <v>0</v>
      </c>
      <c r="J440">
        <f>VLOOKUP(O440,BulletType!A$1:F$35,4)</f>
        <v>0</v>
      </c>
      <c r="K440">
        <f>VLOOKUP(O440,BulletType!A$1:F$35,5)</f>
        <v>17</v>
      </c>
      <c r="L440">
        <f>VLOOKUP(O440,BulletType!A$1:F$35,5)</f>
        <v>17</v>
      </c>
      <c r="M440">
        <f>VLOOKUP(O440,BulletType!A$1:F$35,6)</f>
        <v>8.5</v>
      </c>
      <c r="N440" s="3" t="str">
        <f>VLOOKUP(P440,BulletColor!A$2:B463,2)</f>
        <v>0.9,1,0.4</v>
      </c>
      <c r="O440">
        <v>13</v>
      </c>
      <c r="P440" s="2">
        <v>11</v>
      </c>
      <c r="Q440" s="2">
        <f t="shared" si="29"/>
        <v>0</v>
      </c>
    </row>
    <row r="441" spans="1:17" x14ac:dyDescent="0.2">
      <c r="A441" s="1">
        <f t="shared" si="27"/>
        <v>113111</v>
      </c>
      <c r="B441" s="3" t="str">
        <f>VLOOKUP(O441,BulletType!A$1:F$35,2)&amp;VLOOKUP(P441,BulletColor!A$1:C$25,3)</f>
        <v>中玉 黄绿</v>
      </c>
      <c r="C441" s="3" t="str">
        <f t="shared" si="28"/>
        <v>Bullet113110</v>
      </c>
      <c r="D441" s="2">
        <f>VLOOKUP(O441,BulletType!A$2:N489,9)</f>
        <v>0</v>
      </c>
      <c r="E441" s="2">
        <f>VLOOKUP(O441,BulletType!A$2:N489,10)</f>
        <v>0</v>
      </c>
      <c r="F441" s="3" t="str">
        <f>CONCATENATE(VLOOKUP(O441,BulletType!A$2:I$35,8),VLOOKUP(P441,BulletColor!A$2:D$16,4))</f>
        <v>Bullet200090</v>
      </c>
      <c r="G441" s="3" t="str">
        <f>VLOOKUP(O441,BulletType!A$1:G$35,7)</f>
        <v>4,1</v>
      </c>
      <c r="H441" s="2">
        <f t="shared" si="26"/>
        <v>1</v>
      </c>
      <c r="I441">
        <f>VLOOKUP(O441,BulletType!A$1:F$35,3)</f>
        <v>0</v>
      </c>
      <c r="J441">
        <f>VLOOKUP(O441,BulletType!A$1:F$35,4)</f>
        <v>0</v>
      </c>
      <c r="K441">
        <f>VLOOKUP(O441,BulletType!A$1:F$35,5)</f>
        <v>17</v>
      </c>
      <c r="L441">
        <f>VLOOKUP(O441,BulletType!A$1:F$35,5)</f>
        <v>17</v>
      </c>
      <c r="M441">
        <f>VLOOKUP(O441,BulletType!A$1:F$35,6)</f>
        <v>8.5</v>
      </c>
      <c r="N441" s="3" t="str">
        <f>VLOOKUP(P441,BulletColor!A$2:B464,2)</f>
        <v>0.9,1,0.4</v>
      </c>
      <c r="O441">
        <v>13</v>
      </c>
      <c r="P441" s="2">
        <v>11</v>
      </c>
      <c r="Q441" s="2">
        <f t="shared" si="29"/>
        <v>1</v>
      </c>
    </row>
    <row r="442" spans="1:17" x14ac:dyDescent="0.2">
      <c r="A442" s="1">
        <f t="shared" si="27"/>
        <v>113120</v>
      </c>
      <c r="B442" s="3" t="str">
        <f>VLOOKUP(O442,BulletType!A$1:F$35,2)&amp;VLOOKUP(P442,BulletColor!A$1:C$25,3)</f>
        <v>中玉 深黄</v>
      </c>
      <c r="C442" s="3" t="str">
        <f t="shared" si="28"/>
        <v>Bullet113120</v>
      </c>
      <c r="D442" s="2">
        <f>VLOOKUP(O442,BulletType!A$2:N490,9)</f>
        <v>0</v>
      </c>
      <c r="E442" s="2">
        <f>VLOOKUP(O442,BulletType!A$2:N490,10)</f>
        <v>0</v>
      </c>
      <c r="F442" s="3" t="str">
        <f>CONCATENATE(VLOOKUP(O442,BulletType!A$2:I$35,8),VLOOKUP(P442,BulletColor!A$2:D$16,4))</f>
        <v>Bullet200090</v>
      </c>
      <c r="G442" s="3" t="str">
        <f>VLOOKUP(O442,BulletType!A$1:G$35,7)</f>
        <v>4,1</v>
      </c>
      <c r="H442" s="2">
        <f t="shared" si="26"/>
        <v>0</v>
      </c>
      <c r="I442">
        <f>VLOOKUP(O442,BulletType!A$1:F$35,3)</f>
        <v>0</v>
      </c>
      <c r="J442">
        <f>VLOOKUP(O442,BulletType!A$1:F$35,4)</f>
        <v>0</v>
      </c>
      <c r="K442">
        <f>VLOOKUP(O442,BulletType!A$1:F$35,5)</f>
        <v>17</v>
      </c>
      <c r="L442">
        <f>VLOOKUP(O442,BulletType!A$1:F$35,5)</f>
        <v>17</v>
      </c>
      <c r="M442">
        <f>VLOOKUP(O442,BulletType!A$1:F$35,6)</f>
        <v>8.5</v>
      </c>
      <c r="N442" s="3" t="str">
        <f>VLOOKUP(P442,BulletColor!A$2:B465,2)</f>
        <v>0.9,1,0.4</v>
      </c>
      <c r="O442">
        <v>13</v>
      </c>
      <c r="P442" s="2">
        <v>12</v>
      </c>
      <c r="Q442" s="2">
        <f t="shared" si="29"/>
        <v>0</v>
      </c>
    </row>
    <row r="443" spans="1:17" x14ac:dyDescent="0.2">
      <c r="A443" s="1">
        <f t="shared" si="27"/>
        <v>113121</v>
      </c>
      <c r="B443" s="3" t="str">
        <f>VLOOKUP(O443,BulletType!A$1:F$35,2)&amp;VLOOKUP(P443,BulletColor!A$1:C$25,3)</f>
        <v>中玉 深黄</v>
      </c>
      <c r="C443" s="3" t="str">
        <f t="shared" si="28"/>
        <v>Bullet113120</v>
      </c>
      <c r="D443" s="2">
        <f>VLOOKUP(O443,BulletType!A$2:N491,9)</f>
        <v>0</v>
      </c>
      <c r="E443" s="2">
        <f>VLOOKUP(O443,BulletType!A$2:N491,10)</f>
        <v>0</v>
      </c>
      <c r="F443" s="3" t="str">
        <f>CONCATENATE(VLOOKUP(O443,BulletType!A$2:I$35,8),VLOOKUP(P443,BulletColor!A$2:D$16,4))</f>
        <v>Bullet200090</v>
      </c>
      <c r="G443" s="3" t="str">
        <f>VLOOKUP(O443,BulletType!A$1:G$35,7)</f>
        <v>4,1</v>
      </c>
      <c r="H443" s="2">
        <f t="shared" si="26"/>
        <v>1</v>
      </c>
      <c r="I443">
        <f>VLOOKUP(O443,BulletType!A$1:F$35,3)</f>
        <v>0</v>
      </c>
      <c r="J443">
        <f>VLOOKUP(O443,BulletType!A$1:F$35,4)</f>
        <v>0</v>
      </c>
      <c r="K443">
        <f>VLOOKUP(O443,BulletType!A$1:F$35,5)</f>
        <v>17</v>
      </c>
      <c r="L443">
        <f>VLOOKUP(O443,BulletType!A$1:F$35,5)</f>
        <v>17</v>
      </c>
      <c r="M443">
        <f>VLOOKUP(O443,BulletType!A$1:F$35,6)</f>
        <v>8.5</v>
      </c>
      <c r="N443" s="3" t="str">
        <f>VLOOKUP(P443,BulletColor!A$2:B466,2)</f>
        <v>0.9,1,0.4</v>
      </c>
      <c r="O443">
        <v>13</v>
      </c>
      <c r="P443" s="2">
        <v>12</v>
      </c>
      <c r="Q443" s="2">
        <f t="shared" si="29"/>
        <v>1</v>
      </c>
    </row>
    <row r="444" spans="1:17" x14ac:dyDescent="0.2">
      <c r="A444" s="1">
        <f t="shared" si="27"/>
        <v>113130</v>
      </c>
      <c r="B444" s="3" t="str">
        <f>VLOOKUP(O444,BulletType!A$1:F$35,2)&amp;VLOOKUP(P444,BulletColor!A$1:C$25,3)</f>
        <v>中玉 浅黄</v>
      </c>
      <c r="C444" s="3" t="str">
        <f t="shared" si="28"/>
        <v>Bullet113130</v>
      </c>
      <c r="D444" s="2">
        <f>VLOOKUP(O444,BulletType!A$2:N492,9)</f>
        <v>0</v>
      </c>
      <c r="E444" s="2">
        <f>VLOOKUP(O444,BulletType!A$2:N492,10)</f>
        <v>0</v>
      </c>
      <c r="F444" s="3" t="str">
        <f>CONCATENATE(VLOOKUP(O444,BulletType!A$2:I$35,8),VLOOKUP(P444,BulletColor!A$2:D$16,4))</f>
        <v>Bullet200130</v>
      </c>
      <c r="G444" s="3" t="str">
        <f>VLOOKUP(O444,BulletType!A$1:G$35,7)</f>
        <v>4,1</v>
      </c>
      <c r="H444" s="2">
        <f t="shared" si="26"/>
        <v>0</v>
      </c>
      <c r="I444">
        <f>VLOOKUP(O444,BulletType!A$1:F$35,3)</f>
        <v>0</v>
      </c>
      <c r="J444">
        <f>VLOOKUP(O444,BulletType!A$1:F$35,4)</f>
        <v>0</v>
      </c>
      <c r="K444">
        <f>VLOOKUP(O444,BulletType!A$1:F$35,5)</f>
        <v>17</v>
      </c>
      <c r="L444">
        <f>VLOOKUP(O444,BulletType!A$1:F$35,5)</f>
        <v>17</v>
      </c>
      <c r="M444">
        <f>VLOOKUP(O444,BulletType!A$1:F$35,6)</f>
        <v>8.5</v>
      </c>
      <c r="N444" s="3" t="str">
        <f>VLOOKUP(P444,BulletColor!A$2:B467,2)</f>
        <v>0.9,1,0.4</v>
      </c>
      <c r="O444">
        <v>13</v>
      </c>
      <c r="P444" s="2">
        <v>13</v>
      </c>
      <c r="Q444" s="2">
        <f t="shared" si="29"/>
        <v>0</v>
      </c>
    </row>
    <row r="445" spans="1:17" x14ac:dyDescent="0.2">
      <c r="A445" s="1">
        <f t="shared" si="27"/>
        <v>113131</v>
      </c>
      <c r="B445" s="3" t="str">
        <f>VLOOKUP(O445,BulletType!A$1:F$35,2)&amp;VLOOKUP(P445,BulletColor!A$1:C$25,3)</f>
        <v>中玉 浅黄</v>
      </c>
      <c r="C445" s="3" t="str">
        <f t="shared" si="28"/>
        <v>Bullet113130</v>
      </c>
      <c r="D445" s="2">
        <f>VLOOKUP(O445,BulletType!A$2:N493,9)</f>
        <v>0</v>
      </c>
      <c r="E445" s="2">
        <f>VLOOKUP(O445,BulletType!A$2:N493,10)</f>
        <v>0</v>
      </c>
      <c r="F445" s="3" t="str">
        <f>CONCATENATE(VLOOKUP(O445,BulletType!A$2:I$35,8),VLOOKUP(P445,BulletColor!A$2:D$16,4))</f>
        <v>Bullet200130</v>
      </c>
      <c r="G445" s="3" t="str">
        <f>VLOOKUP(O445,BulletType!A$1:G$35,7)</f>
        <v>4,1</v>
      </c>
      <c r="H445" s="2">
        <f t="shared" si="26"/>
        <v>1</v>
      </c>
      <c r="I445">
        <f>VLOOKUP(O445,BulletType!A$1:F$35,3)</f>
        <v>0</v>
      </c>
      <c r="J445">
        <f>VLOOKUP(O445,BulletType!A$1:F$35,4)</f>
        <v>0</v>
      </c>
      <c r="K445">
        <f>VLOOKUP(O445,BulletType!A$1:F$35,5)</f>
        <v>17</v>
      </c>
      <c r="L445">
        <f>VLOOKUP(O445,BulletType!A$1:F$35,5)</f>
        <v>17</v>
      </c>
      <c r="M445">
        <f>VLOOKUP(O445,BulletType!A$1:F$35,6)</f>
        <v>8.5</v>
      </c>
      <c r="N445" s="3" t="str">
        <f>VLOOKUP(P445,BulletColor!A$2:B468,2)</f>
        <v>0.9,1,0.4</v>
      </c>
      <c r="O445">
        <v>13</v>
      </c>
      <c r="P445" s="2">
        <v>13</v>
      </c>
      <c r="Q445" s="2">
        <f t="shared" si="29"/>
        <v>1</v>
      </c>
    </row>
    <row r="446" spans="1:17" x14ac:dyDescent="0.2">
      <c r="A446" s="1">
        <f t="shared" si="27"/>
        <v>113140</v>
      </c>
      <c r="B446" s="3" t="str">
        <f>VLOOKUP(O446,BulletType!A$1:F$35,2)&amp;VLOOKUP(P446,BulletColor!A$1:C$25,3)</f>
        <v>中玉 棕黄</v>
      </c>
      <c r="C446" s="3" t="str">
        <f t="shared" si="28"/>
        <v>Bullet113140</v>
      </c>
      <c r="D446" s="2">
        <f>VLOOKUP(O446,BulletType!A$2:N494,9)</f>
        <v>0</v>
      </c>
      <c r="E446" s="2">
        <f>VLOOKUP(O446,BulletType!A$2:N494,10)</f>
        <v>0</v>
      </c>
      <c r="F446" s="3" t="str">
        <f>CONCATENATE(VLOOKUP(O446,BulletType!A$2:I$35,8),VLOOKUP(P446,BulletColor!A$2:D$16,4))</f>
        <v>Bullet200130</v>
      </c>
      <c r="G446" s="3" t="str">
        <f>VLOOKUP(O446,BulletType!A$1:G$35,7)</f>
        <v>4,1</v>
      </c>
      <c r="H446" s="2">
        <f t="shared" si="26"/>
        <v>0</v>
      </c>
      <c r="I446">
        <f>VLOOKUP(O446,BulletType!A$1:F$35,3)</f>
        <v>0</v>
      </c>
      <c r="J446">
        <f>VLOOKUP(O446,BulletType!A$1:F$35,4)</f>
        <v>0</v>
      </c>
      <c r="K446">
        <f>VLOOKUP(O446,BulletType!A$1:F$35,5)</f>
        <v>17</v>
      </c>
      <c r="L446">
        <f>VLOOKUP(O446,BulletType!A$1:F$35,5)</f>
        <v>17</v>
      </c>
      <c r="M446">
        <f>VLOOKUP(O446,BulletType!A$1:F$35,6)</f>
        <v>8.5</v>
      </c>
      <c r="N446" s="3" t="str">
        <f>VLOOKUP(P446,BulletColor!A$2:B469,2)</f>
        <v>0.9,1,0.4</v>
      </c>
      <c r="O446">
        <v>13</v>
      </c>
      <c r="P446" s="2">
        <v>14</v>
      </c>
      <c r="Q446" s="2">
        <f t="shared" si="29"/>
        <v>0</v>
      </c>
    </row>
    <row r="447" spans="1:17" x14ac:dyDescent="0.2">
      <c r="A447" s="1">
        <f t="shared" si="27"/>
        <v>113141</v>
      </c>
      <c r="B447" s="3" t="str">
        <f>VLOOKUP(O447,BulletType!A$1:F$35,2)&amp;VLOOKUP(P447,BulletColor!A$1:C$25,3)</f>
        <v>中玉 棕黄</v>
      </c>
      <c r="C447" s="3" t="str">
        <f t="shared" si="28"/>
        <v>Bullet113140</v>
      </c>
      <c r="D447" s="2">
        <f>VLOOKUP(O447,BulletType!A$2:N495,9)</f>
        <v>0</v>
      </c>
      <c r="E447" s="2">
        <f>VLOOKUP(O447,BulletType!A$2:N495,10)</f>
        <v>0</v>
      </c>
      <c r="F447" s="3" t="str">
        <f>CONCATENATE(VLOOKUP(O447,BulletType!A$2:I$35,8),VLOOKUP(P447,BulletColor!A$2:D$16,4))</f>
        <v>Bullet200130</v>
      </c>
      <c r="G447" s="3" t="str">
        <f>VLOOKUP(O447,BulletType!A$1:G$35,7)</f>
        <v>4,1</v>
      </c>
      <c r="H447" s="2">
        <f t="shared" si="26"/>
        <v>1</v>
      </c>
      <c r="I447">
        <f>VLOOKUP(O447,BulletType!A$1:F$35,3)</f>
        <v>0</v>
      </c>
      <c r="J447">
        <f>VLOOKUP(O447,BulletType!A$1:F$35,4)</f>
        <v>0</v>
      </c>
      <c r="K447">
        <f>VLOOKUP(O447,BulletType!A$1:F$35,5)</f>
        <v>17</v>
      </c>
      <c r="L447">
        <f>VLOOKUP(O447,BulletType!A$1:F$35,5)</f>
        <v>17</v>
      </c>
      <c r="M447">
        <f>VLOOKUP(O447,BulletType!A$1:F$35,6)</f>
        <v>8.5</v>
      </c>
      <c r="N447" s="3" t="str">
        <f>VLOOKUP(P447,BulletColor!A$2:B470,2)</f>
        <v>0.9,1,0.4</v>
      </c>
      <c r="O447">
        <v>13</v>
      </c>
      <c r="P447" s="2">
        <v>14</v>
      </c>
      <c r="Q447" s="2">
        <f t="shared" si="29"/>
        <v>1</v>
      </c>
    </row>
    <row r="448" spans="1:17" x14ac:dyDescent="0.2">
      <c r="A448" s="1">
        <f t="shared" si="27"/>
        <v>113150</v>
      </c>
      <c r="B448" s="3" t="str">
        <f>VLOOKUP(O448,BulletType!A$1:F$35,2)&amp;VLOOKUP(P448,BulletColor!A$1:C$25,3)</f>
        <v>中玉 白</v>
      </c>
      <c r="C448" s="3" t="str">
        <f t="shared" si="28"/>
        <v>Bullet113150</v>
      </c>
      <c r="D448" s="2">
        <f>VLOOKUP(O448,BulletType!A$2:N496,9)</f>
        <v>0</v>
      </c>
      <c r="E448" s="2">
        <f>VLOOKUP(O448,BulletType!A$2:N496,10)</f>
        <v>0</v>
      </c>
      <c r="F448" s="3" t="str">
        <f>CONCATENATE(VLOOKUP(O448,BulletType!A$2:I$35,8),VLOOKUP(P448,BulletColor!A$2:D$16,4))</f>
        <v>Bullet200130</v>
      </c>
      <c r="G448" s="3" t="str">
        <f>VLOOKUP(O448,BulletType!A$1:G$35,7)</f>
        <v>4,1</v>
      </c>
      <c r="H448" s="2">
        <f t="shared" si="26"/>
        <v>0</v>
      </c>
      <c r="I448">
        <f>VLOOKUP(O448,BulletType!A$1:F$35,3)</f>
        <v>0</v>
      </c>
      <c r="J448">
        <f>VLOOKUP(O448,BulletType!A$1:F$35,4)</f>
        <v>0</v>
      </c>
      <c r="K448">
        <f>VLOOKUP(O448,BulletType!A$1:F$35,5)</f>
        <v>17</v>
      </c>
      <c r="L448">
        <f>VLOOKUP(O448,BulletType!A$1:F$35,5)</f>
        <v>17</v>
      </c>
      <c r="M448">
        <f>VLOOKUP(O448,BulletType!A$1:F$35,6)</f>
        <v>8.5</v>
      </c>
      <c r="N448" s="3" t="str">
        <f>VLOOKUP(P448,BulletColor!A$2:B471,2)</f>
        <v>0.8,0.8,0.8</v>
      </c>
      <c r="O448">
        <v>13</v>
      </c>
      <c r="P448" s="2">
        <v>15</v>
      </c>
      <c r="Q448" s="2">
        <f t="shared" si="29"/>
        <v>0</v>
      </c>
    </row>
    <row r="449" spans="1:17" x14ac:dyDescent="0.2">
      <c r="A449" s="1">
        <f t="shared" si="27"/>
        <v>113151</v>
      </c>
      <c r="B449" s="3" t="str">
        <f>VLOOKUP(O449,BulletType!A$1:F$35,2)&amp;VLOOKUP(P449,BulletColor!A$1:C$25,3)</f>
        <v>中玉 白</v>
      </c>
      <c r="C449" s="3" t="str">
        <f t="shared" si="28"/>
        <v>Bullet113150</v>
      </c>
      <c r="D449" s="2">
        <f>VLOOKUP(O449,BulletType!A$2:N497,9)</f>
        <v>0</v>
      </c>
      <c r="E449" s="2">
        <f>VLOOKUP(O449,BulletType!A$2:N497,10)</f>
        <v>0</v>
      </c>
      <c r="F449" s="3" t="str">
        <f>CONCATENATE(VLOOKUP(O449,BulletType!A$2:I$35,8),VLOOKUP(P449,BulletColor!A$2:D$16,4))</f>
        <v>Bullet200130</v>
      </c>
      <c r="G449" s="3" t="str">
        <f>VLOOKUP(O449,BulletType!A$1:G$35,7)</f>
        <v>4,1</v>
      </c>
      <c r="H449" s="2">
        <f t="shared" si="26"/>
        <v>1</v>
      </c>
      <c r="I449">
        <f>VLOOKUP(O449,BulletType!A$1:F$35,3)</f>
        <v>0</v>
      </c>
      <c r="J449">
        <f>VLOOKUP(O449,BulletType!A$1:F$35,4)</f>
        <v>0</v>
      </c>
      <c r="K449">
        <f>VLOOKUP(O449,BulletType!A$1:F$35,5)</f>
        <v>17</v>
      </c>
      <c r="L449">
        <f>VLOOKUP(O449,BulletType!A$1:F$35,5)</f>
        <v>17</v>
      </c>
      <c r="M449">
        <f>VLOOKUP(O449,BulletType!A$1:F$35,6)</f>
        <v>8.5</v>
      </c>
      <c r="N449" s="3" t="str">
        <f>VLOOKUP(P449,BulletColor!A$2:B472,2)</f>
        <v>0.8,0.8,0.8</v>
      </c>
      <c r="O449">
        <v>13</v>
      </c>
      <c r="P449" s="2">
        <v>15</v>
      </c>
      <c r="Q449" s="2">
        <f t="shared" si="29"/>
        <v>1</v>
      </c>
    </row>
    <row r="450" spans="1:17" x14ac:dyDescent="0.2">
      <c r="A450" s="1">
        <f t="shared" si="27"/>
        <v>114000</v>
      </c>
      <c r="B450" s="3" t="str">
        <f>VLOOKUP(O450,BulletType!A$1:F$35,2)&amp;VLOOKUP(P450,BulletColor!A$1:C$25,3)</f>
        <v>椭弹 灰</v>
      </c>
      <c r="C450" s="3" t="str">
        <f t="shared" si="28"/>
        <v>Bullet114000</v>
      </c>
      <c r="D450" s="2">
        <f>VLOOKUP(O450,BulletType!A$2:N498,9)</f>
        <v>0</v>
      </c>
      <c r="E450" s="2">
        <f>VLOOKUP(O450,BulletType!A$2:N498,10)</f>
        <v>0</v>
      </c>
      <c r="F450" s="3" t="str">
        <f>CONCATENATE(VLOOKUP(O450,BulletType!A$2:I$35,8),VLOOKUP(P450,BulletColor!A$2:D$16,4))</f>
        <v>Bullet200000</v>
      </c>
      <c r="G450" s="3" t="str">
        <f>VLOOKUP(O450,BulletType!A$1:G$35,7)</f>
        <v>3,0.701</v>
      </c>
      <c r="H450" s="2">
        <f t="shared" ref="H450:H513" si="30">INT(Q450)</f>
        <v>0</v>
      </c>
      <c r="I450">
        <f>VLOOKUP(O450,BulletType!A$1:F$35,3)</f>
        <v>1</v>
      </c>
      <c r="J450">
        <f>VLOOKUP(O450,BulletType!A$1:F$35,4)</f>
        <v>0</v>
      </c>
      <c r="K450">
        <f>VLOOKUP(O450,BulletType!A$1:F$35,5)</f>
        <v>14</v>
      </c>
      <c r="L450">
        <f>VLOOKUP(O450,BulletType!A$1:F$35,5)</f>
        <v>14</v>
      </c>
      <c r="M450">
        <f>VLOOKUP(O450,BulletType!A$1:F$35,6)</f>
        <v>7</v>
      </c>
      <c r="N450" s="3" t="str">
        <f>VLOOKUP(P450,BulletColor!A$2:B473,2)</f>
        <v>0.5,0.5,0.5</v>
      </c>
      <c r="O450">
        <v>14</v>
      </c>
      <c r="P450" s="2">
        <v>0</v>
      </c>
      <c r="Q450" s="2">
        <f t="shared" si="29"/>
        <v>0</v>
      </c>
    </row>
    <row r="451" spans="1:17" x14ac:dyDescent="0.2">
      <c r="A451" s="1">
        <f t="shared" ref="A451:A514" si="31">VALUE(CONCATENATE(1,(REPT(0,2-LEN(O451))&amp;O451),REPT(0,2-LEN(P451))&amp;(P451),Q451))</f>
        <v>114001</v>
      </c>
      <c r="B451" s="3" t="str">
        <f>VLOOKUP(O451,BulletType!A$1:F$35,2)&amp;VLOOKUP(P451,BulletColor!A$1:C$25,3)</f>
        <v>椭弹 灰</v>
      </c>
      <c r="C451" s="3" t="str">
        <f t="shared" ref="C451:C514" si="32">CONCATENATE("Bullet",INT(A451/10)*10)</f>
        <v>Bullet114000</v>
      </c>
      <c r="D451" s="2">
        <f>VLOOKUP(O451,BulletType!A$2:N499,9)</f>
        <v>0</v>
      </c>
      <c r="E451" s="2">
        <f>VLOOKUP(O451,BulletType!A$2:N499,10)</f>
        <v>0</v>
      </c>
      <c r="F451" s="3" t="str">
        <f>CONCATENATE(VLOOKUP(O451,BulletType!A$2:I$35,8),VLOOKUP(P451,BulletColor!A$2:D$16,4))</f>
        <v>Bullet200000</v>
      </c>
      <c r="G451" s="3" t="str">
        <f>VLOOKUP(O451,BulletType!A$1:G$35,7)</f>
        <v>3,0.701</v>
      </c>
      <c r="H451" s="2">
        <f t="shared" si="30"/>
        <v>1</v>
      </c>
      <c r="I451">
        <f>VLOOKUP(O451,BulletType!A$1:F$35,3)</f>
        <v>1</v>
      </c>
      <c r="J451">
        <f>VLOOKUP(O451,BulletType!A$1:F$35,4)</f>
        <v>0</v>
      </c>
      <c r="K451">
        <f>VLOOKUP(O451,BulletType!A$1:F$35,5)</f>
        <v>14</v>
      </c>
      <c r="L451">
        <f>VLOOKUP(O451,BulletType!A$1:F$35,5)</f>
        <v>14</v>
      </c>
      <c r="M451">
        <f>VLOOKUP(O451,BulletType!A$1:F$35,6)</f>
        <v>7</v>
      </c>
      <c r="N451" s="3" t="str">
        <f>VLOOKUP(P451,BulletColor!A$2:B474,2)</f>
        <v>0.5,0.5,0.5</v>
      </c>
      <c r="O451">
        <v>14</v>
      </c>
      <c r="P451" s="2">
        <v>0</v>
      </c>
      <c r="Q451" s="2">
        <f t="shared" si="29"/>
        <v>1</v>
      </c>
    </row>
    <row r="452" spans="1:17" x14ac:dyDescent="0.2">
      <c r="A452" s="1">
        <f t="shared" si="31"/>
        <v>114010</v>
      </c>
      <c r="B452" s="3" t="str">
        <f>VLOOKUP(O452,BulletType!A$1:F$35,2)&amp;VLOOKUP(P452,BulletColor!A$1:C$25,3)</f>
        <v>椭弹 深红</v>
      </c>
      <c r="C452" s="3" t="str">
        <f t="shared" si="32"/>
        <v>Bullet114010</v>
      </c>
      <c r="D452" s="2">
        <f>VLOOKUP(O452,BulletType!A$2:N500,9)</f>
        <v>0</v>
      </c>
      <c r="E452" s="2">
        <f>VLOOKUP(O452,BulletType!A$2:N500,10)</f>
        <v>0</v>
      </c>
      <c r="F452" s="3" t="str">
        <f>CONCATENATE(VLOOKUP(O452,BulletType!A$2:I$35,8),VLOOKUP(P452,BulletColor!A$2:D$16,4))</f>
        <v>Bullet200010</v>
      </c>
      <c r="G452" s="3" t="str">
        <f>VLOOKUP(O452,BulletType!A$1:G$35,7)</f>
        <v>3,0.701</v>
      </c>
      <c r="H452" s="2">
        <f t="shared" si="30"/>
        <v>0</v>
      </c>
      <c r="I452">
        <f>VLOOKUP(O452,BulletType!A$1:F$35,3)</f>
        <v>1</v>
      </c>
      <c r="J452">
        <f>VLOOKUP(O452,BulletType!A$1:F$35,4)</f>
        <v>0</v>
      </c>
      <c r="K452">
        <f>VLOOKUP(O452,BulletType!A$1:F$35,5)</f>
        <v>14</v>
      </c>
      <c r="L452">
        <f>VLOOKUP(O452,BulletType!A$1:F$35,5)</f>
        <v>14</v>
      </c>
      <c r="M452">
        <f>VLOOKUP(O452,BulletType!A$1:F$35,6)</f>
        <v>7</v>
      </c>
      <c r="N452" s="3" t="str">
        <f>VLOOKUP(P452,BulletColor!A$2:B475,2)</f>
        <v>0.625,0.3,0.3</v>
      </c>
      <c r="O452">
        <v>14</v>
      </c>
      <c r="P452" s="2">
        <v>1</v>
      </c>
      <c r="Q452" s="2">
        <f t="shared" si="29"/>
        <v>0</v>
      </c>
    </row>
    <row r="453" spans="1:17" x14ac:dyDescent="0.2">
      <c r="A453" s="1">
        <f t="shared" si="31"/>
        <v>114011</v>
      </c>
      <c r="B453" s="3" t="str">
        <f>VLOOKUP(O453,BulletType!A$1:F$35,2)&amp;VLOOKUP(P453,BulletColor!A$1:C$25,3)</f>
        <v>椭弹 深红</v>
      </c>
      <c r="C453" s="3" t="str">
        <f t="shared" si="32"/>
        <v>Bullet114010</v>
      </c>
      <c r="D453" s="2">
        <f>VLOOKUP(O453,BulletType!A$2:N501,9)</f>
        <v>0</v>
      </c>
      <c r="E453" s="2">
        <f>VLOOKUP(O453,BulletType!A$2:N501,10)</f>
        <v>0</v>
      </c>
      <c r="F453" s="3" t="str">
        <f>CONCATENATE(VLOOKUP(O453,BulletType!A$2:I$35,8),VLOOKUP(P453,BulletColor!A$2:D$16,4))</f>
        <v>Bullet200010</v>
      </c>
      <c r="G453" s="3" t="str">
        <f>VLOOKUP(O453,BulletType!A$1:G$35,7)</f>
        <v>3,0.701</v>
      </c>
      <c r="H453" s="2">
        <f t="shared" si="30"/>
        <v>1</v>
      </c>
      <c r="I453">
        <f>VLOOKUP(O453,BulletType!A$1:F$35,3)</f>
        <v>1</v>
      </c>
      <c r="J453">
        <f>VLOOKUP(O453,BulletType!A$1:F$35,4)</f>
        <v>0</v>
      </c>
      <c r="K453">
        <f>VLOOKUP(O453,BulletType!A$1:F$35,5)</f>
        <v>14</v>
      </c>
      <c r="L453">
        <f>VLOOKUP(O453,BulletType!A$1:F$35,5)</f>
        <v>14</v>
      </c>
      <c r="M453">
        <f>VLOOKUP(O453,BulletType!A$1:F$35,6)</f>
        <v>7</v>
      </c>
      <c r="N453" s="3" t="str">
        <f>VLOOKUP(P453,BulletColor!A$2:B476,2)</f>
        <v>0.625,0.3,0.3</v>
      </c>
      <c r="O453">
        <v>14</v>
      </c>
      <c r="P453" s="2">
        <v>1</v>
      </c>
      <c r="Q453" s="2">
        <f t="shared" si="29"/>
        <v>1</v>
      </c>
    </row>
    <row r="454" spans="1:17" x14ac:dyDescent="0.2">
      <c r="A454" s="1">
        <f t="shared" si="31"/>
        <v>114030</v>
      </c>
      <c r="B454" s="3" t="str">
        <f>VLOOKUP(O454,BulletType!A$1:F$35,2)&amp;VLOOKUP(P454,BulletColor!A$1:C$25,3)</f>
        <v>椭弹 深紫</v>
      </c>
      <c r="C454" s="3" t="str">
        <f t="shared" si="32"/>
        <v>Bullet114030</v>
      </c>
      <c r="D454" s="2">
        <f>VLOOKUP(O454,BulletType!A$2:N502,9)</f>
        <v>0</v>
      </c>
      <c r="E454" s="2">
        <f>VLOOKUP(O454,BulletType!A$2:N502,10)</f>
        <v>0</v>
      </c>
      <c r="F454" s="3" t="str">
        <f>CONCATENATE(VLOOKUP(O454,BulletType!A$2:I$35,8),VLOOKUP(P454,BulletColor!A$2:D$16,4))</f>
        <v>Bullet200030</v>
      </c>
      <c r="G454" s="3" t="str">
        <f>VLOOKUP(O454,BulletType!A$1:G$35,7)</f>
        <v>3,0.701</v>
      </c>
      <c r="H454" s="2">
        <f t="shared" si="30"/>
        <v>0</v>
      </c>
      <c r="I454">
        <f>VLOOKUP(O454,BulletType!A$1:F$35,3)</f>
        <v>1</v>
      </c>
      <c r="J454">
        <f>VLOOKUP(O454,BulletType!A$1:F$35,4)</f>
        <v>0</v>
      </c>
      <c r="K454">
        <f>VLOOKUP(O454,BulletType!A$1:F$35,5)</f>
        <v>14</v>
      </c>
      <c r="L454">
        <f>VLOOKUP(O454,BulletType!A$1:F$35,5)</f>
        <v>14</v>
      </c>
      <c r="M454">
        <f>VLOOKUP(O454,BulletType!A$1:F$35,6)</f>
        <v>7</v>
      </c>
      <c r="N454" s="3" t="str">
        <f>VLOOKUP(P454,BulletColor!A$2:B477,2)</f>
        <v>1,0.65,1</v>
      </c>
      <c r="O454">
        <v>14</v>
      </c>
      <c r="P454" s="2">
        <v>3</v>
      </c>
      <c r="Q454" s="2">
        <f t="shared" si="29"/>
        <v>0</v>
      </c>
    </row>
    <row r="455" spans="1:17" x14ac:dyDescent="0.2">
      <c r="A455" s="1">
        <f t="shared" si="31"/>
        <v>114031</v>
      </c>
      <c r="B455" s="3" t="str">
        <f>VLOOKUP(O455,BulletType!A$1:F$35,2)&amp;VLOOKUP(P455,BulletColor!A$1:C$25,3)</f>
        <v>椭弹 深紫</v>
      </c>
      <c r="C455" s="3" t="str">
        <f t="shared" si="32"/>
        <v>Bullet114030</v>
      </c>
      <c r="D455" s="2">
        <f>VLOOKUP(O455,BulletType!A$2:N503,9)</f>
        <v>0</v>
      </c>
      <c r="E455" s="2">
        <f>VLOOKUP(O455,BulletType!A$2:N503,10)</f>
        <v>0</v>
      </c>
      <c r="F455" s="3" t="str">
        <f>CONCATENATE(VLOOKUP(O455,BulletType!A$2:I$35,8),VLOOKUP(P455,BulletColor!A$2:D$16,4))</f>
        <v>Bullet200030</v>
      </c>
      <c r="G455" s="3" t="str">
        <f>VLOOKUP(O455,BulletType!A$1:G$35,7)</f>
        <v>3,0.701</v>
      </c>
      <c r="H455" s="2">
        <f t="shared" si="30"/>
        <v>1</v>
      </c>
      <c r="I455">
        <f>VLOOKUP(O455,BulletType!A$1:F$35,3)</f>
        <v>1</v>
      </c>
      <c r="J455">
        <f>VLOOKUP(O455,BulletType!A$1:F$35,4)</f>
        <v>0</v>
      </c>
      <c r="K455">
        <f>VLOOKUP(O455,BulletType!A$1:F$35,5)</f>
        <v>14</v>
      </c>
      <c r="L455">
        <f>VLOOKUP(O455,BulletType!A$1:F$35,5)</f>
        <v>14</v>
      </c>
      <c r="M455">
        <f>VLOOKUP(O455,BulletType!A$1:F$35,6)</f>
        <v>7</v>
      </c>
      <c r="N455" s="3" t="str">
        <f>VLOOKUP(P455,BulletColor!A$2:B478,2)</f>
        <v>1,0.65,1</v>
      </c>
      <c r="O455">
        <v>14</v>
      </c>
      <c r="P455" s="2">
        <v>3</v>
      </c>
      <c r="Q455" s="2">
        <f t="shared" si="29"/>
        <v>1</v>
      </c>
    </row>
    <row r="456" spans="1:17" x14ac:dyDescent="0.2">
      <c r="A456" s="1">
        <f t="shared" si="31"/>
        <v>114050</v>
      </c>
      <c r="B456" s="3" t="str">
        <f>VLOOKUP(O456,BulletType!A$1:F$35,2)&amp;VLOOKUP(P456,BulletColor!A$1:C$25,3)</f>
        <v>椭弹 深蓝</v>
      </c>
      <c r="C456" s="3" t="str">
        <f t="shared" si="32"/>
        <v>Bullet114050</v>
      </c>
      <c r="D456" s="2">
        <f>VLOOKUP(O456,BulletType!A$2:N504,9)</f>
        <v>0</v>
      </c>
      <c r="E456" s="2">
        <f>VLOOKUP(O456,BulletType!A$2:N504,10)</f>
        <v>0</v>
      </c>
      <c r="F456" s="3" t="str">
        <f>CONCATENATE(VLOOKUP(O456,BulletType!A$2:I$35,8),VLOOKUP(P456,BulletColor!A$2:D$16,4))</f>
        <v>Bullet200050</v>
      </c>
      <c r="G456" s="3" t="str">
        <f>VLOOKUP(O456,BulletType!A$1:G$35,7)</f>
        <v>3,0.701</v>
      </c>
      <c r="H456" s="2">
        <f t="shared" si="30"/>
        <v>0</v>
      </c>
      <c r="I456">
        <f>VLOOKUP(O456,BulletType!A$1:F$35,3)</f>
        <v>1</v>
      </c>
      <c r="J456">
        <f>VLOOKUP(O456,BulletType!A$1:F$35,4)</f>
        <v>0</v>
      </c>
      <c r="K456">
        <f>VLOOKUP(O456,BulletType!A$1:F$35,5)</f>
        <v>14</v>
      </c>
      <c r="L456">
        <f>VLOOKUP(O456,BulletType!A$1:F$35,5)</f>
        <v>14</v>
      </c>
      <c r="M456">
        <f>VLOOKUP(O456,BulletType!A$1:F$35,6)</f>
        <v>7</v>
      </c>
      <c r="N456" s="3" t="str">
        <f>VLOOKUP(P456,BulletColor!A$2:B479,2)</f>
        <v>0,0.1,1</v>
      </c>
      <c r="O456">
        <v>14</v>
      </c>
      <c r="P456" s="2">
        <v>5</v>
      </c>
      <c r="Q456" s="2">
        <f t="shared" si="29"/>
        <v>0</v>
      </c>
    </row>
    <row r="457" spans="1:17" x14ac:dyDescent="0.2">
      <c r="A457" s="1">
        <f t="shared" si="31"/>
        <v>114051</v>
      </c>
      <c r="B457" s="3" t="str">
        <f>VLOOKUP(O457,BulletType!A$1:F$35,2)&amp;VLOOKUP(P457,BulletColor!A$1:C$25,3)</f>
        <v>椭弹 深蓝</v>
      </c>
      <c r="C457" s="3" t="str">
        <f t="shared" si="32"/>
        <v>Bullet114050</v>
      </c>
      <c r="D457" s="2">
        <f>VLOOKUP(O457,BulletType!A$2:N505,9)</f>
        <v>0</v>
      </c>
      <c r="E457" s="2">
        <f>VLOOKUP(O457,BulletType!A$2:N505,10)</f>
        <v>0</v>
      </c>
      <c r="F457" s="3" t="str">
        <f>CONCATENATE(VLOOKUP(O457,BulletType!A$2:I$35,8),VLOOKUP(P457,BulletColor!A$2:D$16,4))</f>
        <v>Bullet200050</v>
      </c>
      <c r="G457" s="3" t="str">
        <f>VLOOKUP(O457,BulletType!A$1:G$35,7)</f>
        <v>3,0.701</v>
      </c>
      <c r="H457" s="2">
        <f t="shared" si="30"/>
        <v>1</v>
      </c>
      <c r="I457">
        <f>VLOOKUP(O457,BulletType!A$1:F$35,3)</f>
        <v>1</v>
      </c>
      <c r="J457">
        <f>VLOOKUP(O457,BulletType!A$1:F$35,4)</f>
        <v>0</v>
      </c>
      <c r="K457">
        <f>VLOOKUP(O457,BulletType!A$1:F$35,5)</f>
        <v>14</v>
      </c>
      <c r="L457">
        <f>VLOOKUP(O457,BulletType!A$1:F$35,5)</f>
        <v>14</v>
      </c>
      <c r="M457">
        <f>VLOOKUP(O457,BulletType!A$1:F$35,6)</f>
        <v>7</v>
      </c>
      <c r="N457" s="3" t="str">
        <f>VLOOKUP(P457,BulletColor!A$2:B480,2)</f>
        <v>0,0.1,1</v>
      </c>
      <c r="O457">
        <v>14</v>
      </c>
      <c r="P457" s="2">
        <v>5</v>
      </c>
      <c r="Q457" s="2">
        <f t="shared" si="29"/>
        <v>1</v>
      </c>
    </row>
    <row r="458" spans="1:17" x14ac:dyDescent="0.2">
      <c r="A458" s="1">
        <f t="shared" si="31"/>
        <v>114070</v>
      </c>
      <c r="B458" s="3" t="str">
        <f>VLOOKUP(O458,BulletType!A$1:F$35,2)&amp;VLOOKUP(P458,BulletColor!A$1:C$25,3)</f>
        <v>椭弹 深青</v>
      </c>
      <c r="C458" s="3" t="str">
        <f t="shared" si="32"/>
        <v>Bullet114070</v>
      </c>
      <c r="D458" s="2">
        <f>VLOOKUP(O458,BulletType!A$2:N506,9)</f>
        <v>0</v>
      </c>
      <c r="E458" s="2">
        <f>VLOOKUP(O458,BulletType!A$2:N506,10)</f>
        <v>0</v>
      </c>
      <c r="F458" s="3" t="str">
        <f>CONCATENATE(VLOOKUP(O458,BulletType!A$2:I$35,8),VLOOKUP(P458,BulletColor!A$2:D$16,4))</f>
        <v>Bullet200070</v>
      </c>
      <c r="G458" s="3" t="str">
        <f>VLOOKUP(O458,BulletType!A$1:G$35,7)</f>
        <v>3,0.701</v>
      </c>
      <c r="H458" s="2">
        <f t="shared" si="30"/>
        <v>0</v>
      </c>
      <c r="I458">
        <f>VLOOKUP(O458,BulletType!A$1:F$35,3)</f>
        <v>1</v>
      </c>
      <c r="J458">
        <f>VLOOKUP(O458,BulletType!A$1:F$35,4)</f>
        <v>0</v>
      </c>
      <c r="K458">
        <f>VLOOKUP(O458,BulletType!A$1:F$35,5)</f>
        <v>14</v>
      </c>
      <c r="L458">
        <f>VLOOKUP(O458,BulletType!A$1:F$35,5)</f>
        <v>14</v>
      </c>
      <c r="M458">
        <f>VLOOKUP(O458,BulletType!A$1:F$35,6)</f>
        <v>7</v>
      </c>
      <c r="N458" s="3" t="str">
        <f>VLOOKUP(P458,BulletColor!A$2:B481,2)</f>
        <v>0.25,1,1</v>
      </c>
      <c r="O458">
        <v>14</v>
      </c>
      <c r="P458" s="2">
        <v>7</v>
      </c>
      <c r="Q458" s="2">
        <f t="shared" si="29"/>
        <v>0</v>
      </c>
    </row>
    <row r="459" spans="1:17" x14ac:dyDescent="0.2">
      <c r="A459" s="1">
        <f t="shared" si="31"/>
        <v>114071</v>
      </c>
      <c r="B459" s="3" t="str">
        <f>VLOOKUP(O459,BulletType!A$1:F$35,2)&amp;VLOOKUP(P459,BulletColor!A$1:C$25,3)</f>
        <v>椭弹 深青</v>
      </c>
      <c r="C459" s="3" t="str">
        <f t="shared" si="32"/>
        <v>Bullet114070</v>
      </c>
      <c r="D459" s="2">
        <f>VLOOKUP(O459,BulletType!A$2:N507,9)</f>
        <v>0</v>
      </c>
      <c r="E459" s="2">
        <f>VLOOKUP(O459,BulletType!A$2:N507,10)</f>
        <v>0</v>
      </c>
      <c r="F459" s="3" t="str">
        <f>CONCATENATE(VLOOKUP(O459,BulletType!A$2:I$35,8),VLOOKUP(P459,BulletColor!A$2:D$16,4))</f>
        <v>Bullet200070</v>
      </c>
      <c r="G459" s="3" t="str">
        <f>VLOOKUP(O459,BulletType!A$1:G$35,7)</f>
        <v>3,0.701</v>
      </c>
      <c r="H459" s="2">
        <f t="shared" si="30"/>
        <v>1</v>
      </c>
      <c r="I459">
        <f>VLOOKUP(O459,BulletType!A$1:F$35,3)</f>
        <v>1</v>
      </c>
      <c r="J459">
        <f>VLOOKUP(O459,BulletType!A$1:F$35,4)</f>
        <v>0</v>
      </c>
      <c r="K459">
        <f>VLOOKUP(O459,BulletType!A$1:F$35,5)</f>
        <v>14</v>
      </c>
      <c r="L459">
        <f>VLOOKUP(O459,BulletType!A$1:F$35,5)</f>
        <v>14</v>
      </c>
      <c r="M459">
        <f>VLOOKUP(O459,BulletType!A$1:F$35,6)</f>
        <v>7</v>
      </c>
      <c r="N459" s="3" t="str">
        <f>VLOOKUP(P459,BulletColor!A$2:B482,2)</f>
        <v>0.25,1,1</v>
      </c>
      <c r="O459">
        <v>14</v>
      </c>
      <c r="P459" s="2">
        <v>7</v>
      </c>
      <c r="Q459" s="2">
        <f t="shared" si="29"/>
        <v>1</v>
      </c>
    </row>
    <row r="460" spans="1:17" x14ac:dyDescent="0.2">
      <c r="A460" s="1">
        <f t="shared" si="31"/>
        <v>114090</v>
      </c>
      <c r="B460" s="3" t="str">
        <f>VLOOKUP(O460,BulletType!A$1:F$35,2)&amp;VLOOKUP(P460,BulletColor!A$1:C$25,3)</f>
        <v>椭弹 深绿</v>
      </c>
      <c r="C460" s="3" t="str">
        <f t="shared" si="32"/>
        <v>Bullet114090</v>
      </c>
      <c r="D460" s="2">
        <f>VLOOKUP(O460,BulletType!A$2:N508,9)</f>
        <v>0</v>
      </c>
      <c r="E460" s="2">
        <f>VLOOKUP(O460,BulletType!A$2:N508,10)</f>
        <v>0</v>
      </c>
      <c r="F460" s="3" t="str">
        <f>CONCATENATE(VLOOKUP(O460,BulletType!A$2:I$35,8),VLOOKUP(P460,BulletColor!A$2:D$16,4))</f>
        <v>Bullet200090</v>
      </c>
      <c r="G460" s="3" t="str">
        <f>VLOOKUP(O460,BulletType!A$1:G$35,7)</f>
        <v>3,0.701</v>
      </c>
      <c r="H460" s="2">
        <f t="shared" si="30"/>
        <v>0</v>
      </c>
      <c r="I460">
        <f>VLOOKUP(O460,BulletType!A$1:F$35,3)</f>
        <v>1</v>
      </c>
      <c r="J460">
        <f>VLOOKUP(O460,BulletType!A$1:F$35,4)</f>
        <v>0</v>
      </c>
      <c r="K460">
        <f>VLOOKUP(O460,BulletType!A$1:F$35,5)</f>
        <v>14</v>
      </c>
      <c r="L460">
        <f>VLOOKUP(O460,BulletType!A$1:F$35,5)</f>
        <v>14</v>
      </c>
      <c r="M460">
        <f>VLOOKUP(O460,BulletType!A$1:F$35,6)</f>
        <v>7</v>
      </c>
      <c r="N460" s="3" t="str">
        <f>VLOOKUP(P460,BulletColor!A$2:B483,2)</f>
        <v>0.36,0.78,1</v>
      </c>
      <c r="O460">
        <v>14</v>
      </c>
      <c r="P460" s="2">
        <v>9</v>
      </c>
      <c r="Q460" s="2">
        <f t="shared" si="29"/>
        <v>0</v>
      </c>
    </row>
    <row r="461" spans="1:17" x14ac:dyDescent="0.2">
      <c r="A461" s="1">
        <f t="shared" si="31"/>
        <v>114091</v>
      </c>
      <c r="B461" s="3" t="str">
        <f>VLOOKUP(O461,BulletType!A$1:F$35,2)&amp;VLOOKUP(P461,BulletColor!A$1:C$25,3)</f>
        <v>椭弹 深绿</v>
      </c>
      <c r="C461" s="3" t="str">
        <f t="shared" si="32"/>
        <v>Bullet114090</v>
      </c>
      <c r="D461" s="2">
        <f>VLOOKUP(O461,BulletType!A$2:N509,9)</f>
        <v>0</v>
      </c>
      <c r="E461" s="2">
        <f>VLOOKUP(O461,BulletType!A$2:N509,10)</f>
        <v>0</v>
      </c>
      <c r="F461" s="3" t="str">
        <f>CONCATENATE(VLOOKUP(O461,BulletType!A$2:I$35,8),VLOOKUP(P461,BulletColor!A$2:D$16,4))</f>
        <v>Bullet200090</v>
      </c>
      <c r="G461" s="3" t="str">
        <f>VLOOKUP(O461,BulletType!A$1:G$35,7)</f>
        <v>3,0.701</v>
      </c>
      <c r="H461" s="2">
        <f t="shared" si="30"/>
        <v>1</v>
      </c>
      <c r="I461">
        <f>VLOOKUP(O461,BulletType!A$1:F$35,3)</f>
        <v>1</v>
      </c>
      <c r="J461">
        <f>VLOOKUP(O461,BulletType!A$1:F$35,4)</f>
        <v>0</v>
      </c>
      <c r="K461">
        <f>VLOOKUP(O461,BulletType!A$1:F$35,5)</f>
        <v>14</v>
      </c>
      <c r="L461">
        <f>VLOOKUP(O461,BulletType!A$1:F$35,5)</f>
        <v>14</v>
      </c>
      <c r="M461">
        <f>VLOOKUP(O461,BulletType!A$1:F$35,6)</f>
        <v>7</v>
      </c>
      <c r="N461" s="3" t="str">
        <f>VLOOKUP(P461,BulletColor!A$2:B484,2)</f>
        <v>0.36,0.78,1</v>
      </c>
      <c r="O461">
        <v>14</v>
      </c>
      <c r="P461" s="2">
        <v>9</v>
      </c>
      <c r="Q461" s="2">
        <f t="shared" si="29"/>
        <v>1</v>
      </c>
    </row>
    <row r="462" spans="1:17" x14ac:dyDescent="0.2">
      <c r="A462" s="1">
        <f t="shared" si="31"/>
        <v>114130</v>
      </c>
      <c r="B462" s="3" t="str">
        <f>VLOOKUP(O462,BulletType!A$1:F$35,2)&amp;VLOOKUP(P462,BulletColor!A$1:C$25,3)</f>
        <v>椭弹 浅黄</v>
      </c>
      <c r="C462" s="3" t="str">
        <f t="shared" si="32"/>
        <v>Bullet114130</v>
      </c>
      <c r="D462" s="2">
        <f>VLOOKUP(O462,BulletType!A$2:N510,9)</f>
        <v>0</v>
      </c>
      <c r="E462" s="2">
        <f>VLOOKUP(O462,BulletType!A$2:N510,10)</f>
        <v>0</v>
      </c>
      <c r="F462" s="3" t="str">
        <f>CONCATENATE(VLOOKUP(O462,BulletType!A$2:I$35,8),VLOOKUP(P462,BulletColor!A$2:D$16,4))</f>
        <v>Bullet200130</v>
      </c>
      <c r="G462" s="3" t="str">
        <f>VLOOKUP(O462,BulletType!A$1:G$35,7)</f>
        <v>3,0.701</v>
      </c>
      <c r="H462" s="2">
        <f t="shared" si="30"/>
        <v>0</v>
      </c>
      <c r="I462">
        <f>VLOOKUP(O462,BulletType!A$1:F$35,3)</f>
        <v>1</v>
      </c>
      <c r="J462">
        <f>VLOOKUP(O462,BulletType!A$1:F$35,4)</f>
        <v>0</v>
      </c>
      <c r="K462">
        <f>VLOOKUP(O462,BulletType!A$1:F$35,5)</f>
        <v>14</v>
      </c>
      <c r="L462">
        <f>VLOOKUP(O462,BulletType!A$1:F$35,5)</f>
        <v>14</v>
      </c>
      <c r="M462">
        <f>VLOOKUP(O462,BulletType!A$1:F$35,6)</f>
        <v>7</v>
      </c>
      <c r="N462" s="3" t="str">
        <f>VLOOKUP(P462,BulletColor!A$2:B485,2)</f>
        <v>0.9,1,0.4</v>
      </c>
      <c r="O462">
        <v>14</v>
      </c>
      <c r="P462" s="2">
        <v>13</v>
      </c>
      <c r="Q462" s="2">
        <f t="shared" si="29"/>
        <v>0</v>
      </c>
    </row>
    <row r="463" spans="1:17" x14ac:dyDescent="0.2">
      <c r="A463" s="1">
        <f t="shared" si="31"/>
        <v>114131</v>
      </c>
      <c r="B463" s="3" t="str">
        <f>VLOOKUP(O463,BulletType!A$1:F$35,2)&amp;VLOOKUP(P463,BulletColor!A$1:C$25,3)</f>
        <v>椭弹 浅黄</v>
      </c>
      <c r="C463" s="3" t="str">
        <f t="shared" si="32"/>
        <v>Bullet114130</v>
      </c>
      <c r="D463" s="2">
        <f>VLOOKUP(O463,BulletType!A$2:N511,9)</f>
        <v>0</v>
      </c>
      <c r="E463" s="2">
        <f>VLOOKUP(O463,BulletType!A$2:N511,10)</f>
        <v>0</v>
      </c>
      <c r="F463" s="3" t="str">
        <f>CONCATENATE(VLOOKUP(O463,BulletType!A$2:I$35,8),VLOOKUP(P463,BulletColor!A$2:D$16,4))</f>
        <v>Bullet200130</v>
      </c>
      <c r="G463" s="3" t="str">
        <f>VLOOKUP(O463,BulletType!A$1:G$35,7)</f>
        <v>3,0.701</v>
      </c>
      <c r="H463" s="2">
        <f t="shared" si="30"/>
        <v>1</v>
      </c>
      <c r="I463">
        <f>VLOOKUP(O463,BulletType!A$1:F$35,3)</f>
        <v>1</v>
      </c>
      <c r="J463">
        <f>VLOOKUP(O463,BulletType!A$1:F$35,4)</f>
        <v>0</v>
      </c>
      <c r="K463">
        <f>VLOOKUP(O463,BulletType!A$1:F$35,5)</f>
        <v>14</v>
      </c>
      <c r="L463">
        <f>VLOOKUP(O463,BulletType!A$1:F$35,5)</f>
        <v>14</v>
      </c>
      <c r="M463">
        <f>VLOOKUP(O463,BulletType!A$1:F$35,6)</f>
        <v>7</v>
      </c>
      <c r="N463" s="3" t="str">
        <f>VLOOKUP(P463,BulletColor!A$2:B486,2)</f>
        <v>0.9,1,0.4</v>
      </c>
      <c r="O463">
        <v>14</v>
      </c>
      <c r="P463" s="2">
        <v>13</v>
      </c>
      <c r="Q463" s="2">
        <f t="shared" si="29"/>
        <v>1</v>
      </c>
    </row>
    <row r="464" spans="1:17" x14ac:dyDescent="0.2">
      <c r="A464" s="1">
        <f t="shared" si="31"/>
        <v>114150</v>
      </c>
      <c r="B464" s="3" t="str">
        <f>VLOOKUP(O464,BulletType!A$1:F$35,2)&amp;VLOOKUP(P464,BulletColor!A$1:C$25,3)</f>
        <v>椭弹 白</v>
      </c>
      <c r="C464" s="3" t="str">
        <f t="shared" si="32"/>
        <v>Bullet114150</v>
      </c>
      <c r="D464" s="2">
        <f>VLOOKUP(O464,BulletType!A$2:N512,9)</f>
        <v>0</v>
      </c>
      <c r="E464" s="2">
        <f>VLOOKUP(O464,BulletType!A$2:N512,10)</f>
        <v>0</v>
      </c>
      <c r="F464" s="3" t="str">
        <f>CONCATENATE(VLOOKUP(O464,BulletType!A$2:I$35,8),VLOOKUP(P464,BulletColor!A$2:D$16,4))</f>
        <v>Bullet200130</v>
      </c>
      <c r="G464" s="3" t="str">
        <f>VLOOKUP(O464,BulletType!A$1:G$35,7)</f>
        <v>3,0.701</v>
      </c>
      <c r="H464" s="2">
        <f t="shared" si="30"/>
        <v>0</v>
      </c>
      <c r="I464">
        <f>VLOOKUP(O464,BulletType!A$1:F$35,3)</f>
        <v>1</v>
      </c>
      <c r="J464">
        <f>VLOOKUP(O464,BulletType!A$1:F$35,4)</f>
        <v>0</v>
      </c>
      <c r="K464">
        <f>VLOOKUP(O464,BulletType!A$1:F$35,5)</f>
        <v>14</v>
      </c>
      <c r="L464">
        <f>VLOOKUP(O464,BulletType!A$1:F$35,5)</f>
        <v>14</v>
      </c>
      <c r="M464">
        <f>VLOOKUP(O464,BulletType!A$1:F$35,6)</f>
        <v>7</v>
      </c>
      <c r="N464" s="3" t="str">
        <f>VLOOKUP(P464,BulletColor!A$2:B487,2)</f>
        <v>0.8,0.8,0.8</v>
      </c>
      <c r="O464">
        <v>14</v>
      </c>
      <c r="P464" s="2">
        <v>15</v>
      </c>
      <c r="Q464" s="2">
        <f t="shared" si="29"/>
        <v>0</v>
      </c>
    </row>
    <row r="465" spans="1:17" x14ac:dyDescent="0.2">
      <c r="A465" s="1">
        <f t="shared" si="31"/>
        <v>114151</v>
      </c>
      <c r="B465" s="3" t="str">
        <f>VLOOKUP(O465,BulletType!A$1:F$35,2)&amp;VLOOKUP(P465,BulletColor!A$1:C$25,3)</f>
        <v>椭弹 白</v>
      </c>
      <c r="C465" s="3" t="str">
        <f t="shared" si="32"/>
        <v>Bullet114150</v>
      </c>
      <c r="D465" s="2">
        <f>VLOOKUP(O465,BulletType!A$2:N513,9)</f>
        <v>0</v>
      </c>
      <c r="E465" s="2">
        <f>VLOOKUP(O465,BulletType!A$2:N513,10)</f>
        <v>0</v>
      </c>
      <c r="F465" s="3" t="str">
        <f>CONCATENATE(VLOOKUP(O465,BulletType!A$2:I$35,8),VLOOKUP(P465,BulletColor!A$2:D$16,4))</f>
        <v>Bullet200130</v>
      </c>
      <c r="G465" s="3" t="str">
        <f>VLOOKUP(O465,BulletType!A$1:G$35,7)</f>
        <v>3,0.701</v>
      </c>
      <c r="H465" s="2">
        <f t="shared" si="30"/>
        <v>1</v>
      </c>
      <c r="I465">
        <f>VLOOKUP(O465,BulletType!A$1:F$35,3)</f>
        <v>1</v>
      </c>
      <c r="J465">
        <f>VLOOKUP(O465,BulletType!A$1:F$35,4)</f>
        <v>0</v>
      </c>
      <c r="K465">
        <f>VLOOKUP(O465,BulletType!A$1:F$35,5)</f>
        <v>14</v>
      </c>
      <c r="L465">
        <f>VLOOKUP(O465,BulletType!A$1:F$35,5)</f>
        <v>14</v>
      </c>
      <c r="M465">
        <f>VLOOKUP(O465,BulletType!A$1:F$35,6)</f>
        <v>7</v>
      </c>
      <c r="N465" s="3" t="str">
        <f>VLOOKUP(P465,BulletColor!A$2:B488,2)</f>
        <v>0.8,0.8,0.8</v>
      </c>
      <c r="O465">
        <v>14</v>
      </c>
      <c r="P465" s="2">
        <v>15</v>
      </c>
      <c r="Q465" s="2">
        <f t="shared" si="29"/>
        <v>1</v>
      </c>
    </row>
    <row r="466" spans="1:17" x14ac:dyDescent="0.2">
      <c r="A466" s="1">
        <f t="shared" si="31"/>
        <v>115000</v>
      </c>
      <c r="B466" s="3" t="str">
        <f>VLOOKUP(O466,BulletType!A$1:F$35,2)&amp;VLOOKUP(P466,BulletColor!A$1:C$25,3)</f>
        <v>刀弹 灰</v>
      </c>
      <c r="C466" s="3" t="str">
        <f t="shared" si="32"/>
        <v>Bullet115000</v>
      </c>
      <c r="D466" s="2">
        <f>VLOOKUP(O466,BulletType!A$2:N514,9)</f>
        <v>0</v>
      </c>
      <c r="E466" s="2">
        <f>VLOOKUP(O466,BulletType!A$2:N514,10)</f>
        <v>0</v>
      </c>
      <c r="F466" s="3" t="str">
        <f>CONCATENATE(VLOOKUP(O466,BulletType!A$2:I$35,8),VLOOKUP(P466,BulletColor!A$2:D$16,4))</f>
        <v>Bullet200000</v>
      </c>
      <c r="G466" s="3" t="str">
        <f>VLOOKUP(O466,BulletType!A$1:G$35,7)</f>
        <v>3,0.754</v>
      </c>
      <c r="H466" s="2">
        <f t="shared" si="30"/>
        <v>0</v>
      </c>
      <c r="I466">
        <f>VLOOKUP(O466,BulletType!A$1:F$35,3)</f>
        <v>1</v>
      </c>
      <c r="J466">
        <f>VLOOKUP(O466,BulletType!A$1:F$35,4)</f>
        <v>0</v>
      </c>
      <c r="K466">
        <f>VLOOKUP(O466,BulletType!A$1:F$35,5)</f>
        <v>12</v>
      </c>
      <c r="L466">
        <f>VLOOKUP(O466,BulletType!A$1:F$35,5)</f>
        <v>12</v>
      </c>
      <c r="M466">
        <f>VLOOKUP(O466,BulletType!A$1:F$35,6)</f>
        <v>6</v>
      </c>
      <c r="N466" s="3" t="str">
        <f>VLOOKUP(P466,BulletColor!A$2:B489,2)</f>
        <v>0.5,0.5,0.5</v>
      </c>
      <c r="O466">
        <v>15</v>
      </c>
      <c r="P466" s="2">
        <v>0</v>
      </c>
      <c r="Q466" s="2">
        <f t="shared" si="29"/>
        <v>0</v>
      </c>
    </row>
    <row r="467" spans="1:17" x14ac:dyDescent="0.2">
      <c r="A467" s="1">
        <f t="shared" si="31"/>
        <v>115001</v>
      </c>
      <c r="B467" s="3" t="str">
        <f>VLOOKUP(O467,BulletType!A$1:F$35,2)&amp;VLOOKUP(P467,BulletColor!A$1:C$25,3)</f>
        <v>刀弹 灰</v>
      </c>
      <c r="C467" s="3" t="str">
        <f t="shared" si="32"/>
        <v>Bullet115000</v>
      </c>
      <c r="D467" s="2">
        <f>VLOOKUP(O467,BulletType!A$2:N515,9)</f>
        <v>0</v>
      </c>
      <c r="E467" s="2">
        <f>VLOOKUP(O467,BulletType!A$2:N515,10)</f>
        <v>0</v>
      </c>
      <c r="F467" s="3" t="str">
        <f>CONCATENATE(VLOOKUP(O467,BulletType!A$2:I$35,8),VLOOKUP(P467,BulletColor!A$2:D$16,4))</f>
        <v>Bullet200000</v>
      </c>
      <c r="G467" s="3" t="str">
        <f>VLOOKUP(O467,BulletType!A$1:G$35,7)</f>
        <v>3,0.754</v>
      </c>
      <c r="H467" s="2">
        <f t="shared" si="30"/>
        <v>1</v>
      </c>
      <c r="I467">
        <f>VLOOKUP(O467,BulletType!A$1:F$35,3)</f>
        <v>1</v>
      </c>
      <c r="J467">
        <f>VLOOKUP(O467,BulletType!A$1:F$35,4)</f>
        <v>0</v>
      </c>
      <c r="K467">
        <f>VLOOKUP(O467,BulletType!A$1:F$35,5)</f>
        <v>12</v>
      </c>
      <c r="L467">
        <f>VLOOKUP(O467,BulletType!A$1:F$35,5)</f>
        <v>12</v>
      </c>
      <c r="M467">
        <f>VLOOKUP(O467,BulletType!A$1:F$35,6)</f>
        <v>6</v>
      </c>
      <c r="N467" s="3" t="str">
        <f>VLOOKUP(P467,BulletColor!A$2:B490,2)</f>
        <v>0.5,0.5,0.5</v>
      </c>
      <c r="O467">
        <v>15</v>
      </c>
      <c r="P467" s="2">
        <v>0</v>
      </c>
      <c r="Q467" s="2">
        <f t="shared" si="29"/>
        <v>1</v>
      </c>
    </row>
    <row r="468" spans="1:17" x14ac:dyDescent="0.2">
      <c r="A468" s="1">
        <f t="shared" si="31"/>
        <v>115010</v>
      </c>
      <c r="B468" s="3" t="str">
        <f>VLOOKUP(O468,BulletType!A$1:F$35,2)&amp;VLOOKUP(P468,BulletColor!A$1:C$25,3)</f>
        <v>刀弹 深红</v>
      </c>
      <c r="C468" s="3" t="str">
        <f t="shared" si="32"/>
        <v>Bullet115010</v>
      </c>
      <c r="D468" s="2">
        <f>VLOOKUP(O468,BulletType!A$2:N516,9)</f>
        <v>0</v>
      </c>
      <c r="E468" s="2">
        <f>VLOOKUP(O468,BulletType!A$2:N516,10)</f>
        <v>0</v>
      </c>
      <c r="F468" s="3" t="str">
        <f>CONCATENATE(VLOOKUP(O468,BulletType!A$2:I$35,8),VLOOKUP(P468,BulletColor!A$2:D$16,4))</f>
        <v>Bullet200010</v>
      </c>
      <c r="G468" s="3" t="str">
        <f>VLOOKUP(O468,BulletType!A$1:G$35,7)</f>
        <v>3,0.754</v>
      </c>
      <c r="H468" s="2">
        <f t="shared" si="30"/>
        <v>0</v>
      </c>
      <c r="I468">
        <f>VLOOKUP(O468,BulletType!A$1:F$35,3)</f>
        <v>1</v>
      </c>
      <c r="J468">
        <f>VLOOKUP(O468,BulletType!A$1:F$35,4)</f>
        <v>0</v>
      </c>
      <c r="K468">
        <f>VLOOKUP(O468,BulletType!A$1:F$35,5)</f>
        <v>12</v>
      </c>
      <c r="L468">
        <f>VLOOKUP(O468,BulletType!A$1:F$35,5)</f>
        <v>12</v>
      </c>
      <c r="M468">
        <f>VLOOKUP(O468,BulletType!A$1:F$35,6)</f>
        <v>6</v>
      </c>
      <c r="N468" s="3" t="str">
        <f>VLOOKUP(P468,BulletColor!A$2:B491,2)</f>
        <v>0.625,0.3,0.3</v>
      </c>
      <c r="O468">
        <v>15</v>
      </c>
      <c r="P468" s="2">
        <v>1</v>
      </c>
      <c r="Q468" s="2">
        <f t="shared" si="29"/>
        <v>0</v>
      </c>
    </row>
    <row r="469" spans="1:17" x14ac:dyDescent="0.2">
      <c r="A469" s="1">
        <f t="shared" si="31"/>
        <v>115011</v>
      </c>
      <c r="B469" s="3" t="str">
        <f>VLOOKUP(O469,BulletType!A$1:F$35,2)&amp;VLOOKUP(P469,BulletColor!A$1:C$25,3)</f>
        <v>刀弹 深红</v>
      </c>
      <c r="C469" s="3" t="str">
        <f t="shared" si="32"/>
        <v>Bullet115010</v>
      </c>
      <c r="D469" s="2">
        <f>VLOOKUP(O469,BulletType!A$2:N517,9)</f>
        <v>0</v>
      </c>
      <c r="E469" s="2">
        <f>VLOOKUP(O469,BulletType!A$2:N517,10)</f>
        <v>0</v>
      </c>
      <c r="F469" s="3" t="str">
        <f>CONCATENATE(VLOOKUP(O469,BulletType!A$2:I$35,8),VLOOKUP(P469,BulletColor!A$2:D$16,4))</f>
        <v>Bullet200010</v>
      </c>
      <c r="G469" s="3" t="str">
        <f>VLOOKUP(O469,BulletType!A$1:G$35,7)</f>
        <v>3,0.754</v>
      </c>
      <c r="H469" s="2">
        <f t="shared" si="30"/>
        <v>1</v>
      </c>
      <c r="I469">
        <f>VLOOKUP(O469,BulletType!A$1:F$35,3)</f>
        <v>1</v>
      </c>
      <c r="J469">
        <f>VLOOKUP(O469,BulletType!A$1:F$35,4)</f>
        <v>0</v>
      </c>
      <c r="K469">
        <f>VLOOKUP(O469,BulletType!A$1:F$35,5)</f>
        <v>12</v>
      </c>
      <c r="L469">
        <f>VLOOKUP(O469,BulletType!A$1:F$35,5)</f>
        <v>12</v>
      </c>
      <c r="M469">
        <f>VLOOKUP(O469,BulletType!A$1:F$35,6)</f>
        <v>6</v>
      </c>
      <c r="N469" s="3" t="str">
        <f>VLOOKUP(P469,BulletColor!A$2:B492,2)</f>
        <v>0.625,0.3,0.3</v>
      </c>
      <c r="O469">
        <v>15</v>
      </c>
      <c r="P469" s="2">
        <v>1</v>
      </c>
      <c r="Q469" s="2">
        <f t="shared" si="29"/>
        <v>1</v>
      </c>
    </row>
    <row r="470" spans="1:17" x14ac:dyDescent="0.2">
      <c r="A470" s="1">
        <f t="shared" si="31"/>
        <v>115030</v>
      </c>
      <c r="B470" s="3" t="str">
        <f>VLOOKUP(O470,BulletType!A$1:F$35,2)&amp;VLOOKUP(P470,BulletColor!A$1:C$25,3)</f>
        <v>刀弹 深紫</v>
      </c>
      <c r="C470" s="3" t="str">
        <f t="shared" si="32"/>
        <v>Bullet115030</v>
      </c>
      <c r="D470" s="2">
        <f>VLOOKUP(O470,BulletType!A$2:N518,9)</f>
        <v>0</v>
      </c>
      <c r="E470" s="2">
        <f>VLOOKUP(O470,BulletType!A$2:N518,10)</f>
        <v>0</v>
      </c>
      <c r="F470" s="3" t="str">
        <f>CONCATENATE(VLOOKUP(O470,BulletType!A$2:I$35,8),VLOOKUP(P470,BulletColor!A$2:D$16,4))</f>
        <v>Bullet200030</v>
      </c>
      <c r="G470" s="3" t="str">
        <f>VLOOKUP(O470,BulletType!A$1:G$35,7)</f>
        <v>3,0.754</v>
      </c>
      <c r="H470" s="2">
        <f t="shared" si="30"/>
        <v>0</v>
      </c>
      <c r="I470">
        <f>VLOOKUP(O470,BulletType!A$1:F$35,3)</f>
        <v>1</v>
      </c>
      <c r="J470">
        <f>VLOOKUP(O470,BulletType!A$1:F$35,4)</f>
        <v>0</v>
      </c>
      <c r="K470">
        <f>VLOOKUP(O470,BulletType!A$1:F$35,5)</f>
        <v>12</v>
      </c>
      <c r="L470">
        <f>VLOOKUP(O470,BulletType!A$1:F$35,5)</f>
        <v>12</v>
      </c>
      <c r="M470">
        <f>VLOOKUP(O470,BulletType!A$1:F$35,6)</f>
        <v>6</v>
      </c>
      <c r="N470" s="3" t="str">
        <f>VLOOKUP(P470,BulletColor!A$2:B493,2)</f>
        <v>1,0.65,1</v>
      </c>
      <c r="O470">
        <v>15</v>
      </c>
      <c r="P470" s="2">
        <v>3</v>
      </c>
      <c r="Q470" s="2">
        <f t="shared" si="29"/>
        <v>0</v>
      </c>
    </row>
    <row r="471" spans="1:17" x14ac:dyDescent="0.2">
      <c r="A471" s="1">
        <f t="shared" si="31"/>
        <v>115031</v>
      </c>
      <c r="B471" s="3" t="str">
        <f>VLOOKUP(O471,BulletType!A$1:F$35,2)&amp;VLOOKUP(P471,BulletColor!A$1:C$25,3)</f>
        <v>刀弹 深紫</v>
      </c>
      <c r="C471" s="3" t="str">
        <f t="shared" si="32"/>
        <v>Bullet115030</v>
      </c>
      <c r="D471" s="2">
        <f>VLOOKUP(O471,BulletType!A$2:N519,9)</f>
        <v>0</v>
      </c>
      <c r="E471" s="2">
        <f>VLOOKUP(O471,BulletType!A$2:N519,10)</f>
        <v>0</v>
      </c>
      <c r="F471" s="3" t="str">
        <f>CONCATENATE(VLOOKUP(O471,BulletType!A$2:I$35,8),VLOOKUP(P471,BulletColor!A$2:D$16,4))</f>
        <v>Bullet200030</v>
      </c>
      <c r="G471" s="3" t="str">
        <f>VLOOKUP(O471,BulletType!A$1:G$35,7)</f>
        <v>3,0.754</v>
      </c>
      <c r="H471" s="2">
        <f t="shared" si="30"/>
        <v>1</v>
      </c>
      <c r="I471">
        <f>VLOOKUP(O471,BulletType!A$1:F$35,3)</f>
        <v>1</v>
      </c>
      <c r="J471">
        <f>VLOOKUP(O471,BulletType!A$1:F$35,4)</f>
        <v>0</v>
      </c>
      <c r="K471">
        <f>VLOOKUP(O471,BulletType!A$1:F$35,5)</f>
        <v>12</v>
      </c>
      <c r="L471">
        <f>VLOOKUP(O471,BulletType!A$1:F$35,5)</f>
        <v>12</v>
      </c>
      <c r="M471">
        <f>VLOOKUP(O471,BulletType!A$1:F$35,6)</f>
        <v>6</v>
      </c>
      <c r="N471" s="3" t="str">
        <f>VLOOKUP(P471,BulletColor!A$2:B494,2)</f>
        <v>1,0.65,1</v>
      </c>
      <c r="O471">
        <v>15</v>
      </c>
      <c r="P471" s="2">
        <v>3</v>
      </c>
      <c r="Q471" s="2">
        <f t="shared" si="29"/>
        <v>1</v>
      </c>
    </row>
    <row r="472" spans="1:17" x14ac:dyDescent="0.2">
      <c r="A472" s="1">
        <f t="shared" si="31"/>
        <v>115050</v>
      </c>
      <c r="B472" s="3" t="str">
        <f>VLOOKUP(O472,BulletType!A$1:F$35,2)&amp;VLOOKUP(P472,BulletColor!A$1:C$25,3)</f>
        <v>刀弹 深蓝</v>
      </c>
      <c r="C472" s="3" t="str">
        <f t="shared" si="32"/>
        <v>Bullet115050</v>
      </c>
      <c r="D472" s="2">
        <f>VLOOKUP(O472,BulletType!A$2:N520,9)</f>
        <v>0</v>
      </c>
      <c r="E472" s="2">
        <f>VLOOKUP(O472,BulletType!A$2:N520,10)</f>
        <v>0</v>
      </c>
      <c r="F472" s="3" t="str">
        <f>CONCATENATE(VLOOKUP(O472,BulletType!A$2:I$35,8),VLOOKUP(P472,BulletColor!A$2:D$16,4))</f>
        <v>Bullet200050</v>
      </c>
      <c r="G472" s="3" t="str">
        <f>VLOOKUP(O472,BulletType!A$1:G$35,7)</f>
        <v>3,0.754</v>
      </c>
      <c r="H472" s="2">
        <f t="shared" si="30"/>
        <v>0</v>
      </c>
      <c r="I472">
        <f>VLOOKUP(O472,BulletType!A$1:F$35,3)</f>
        <v>1</v>
      </c>
      <c r="J472">
        <f>VLOOKUP(O472,BulletType!A$1:F$35,4)</f>
        <v>0</v>
      </c>
      <c r="K472">
        <f>VLOOKUP(O472,BulletType!A$1:F$35,5)</f>
        <v>12</v>
      </c>
      <c r="L472">
        <f>VLOOKUP(O472,BulletType!A$1:F$35,5)</f>
        <v>12</v>
      </c>
      <c r="M472">
        <f>VLOOKUP(O472,BulletType!A$1:F$35,6)</f>
        <v>6</v>
      </c>
      <c r="N472" s="3" t="str">
        <f>VLOOKUP(P472,BulletColor!A$2:B495,2)</f>
        <v>0,0.1,1</v>
      </c>
      <c r="O472">
        <v>15</v>
      </c>
      <c r="P472" s="2">
        <v>5</v>
      </c>
      <c r="Q472" s="2">
        <f t="shared" si="29"/>
        <v>0</v>
      </c>
    </row>
    <row r="473" spans="1:17" x14ac:dyDescent="0.2">
      <c r="A473" s="1">
        <f t="shared" si="31"/>
        <v>115051</v>
      </c>
      <c r="B473" s="3" t="str">
        <f>VLOOKUP(O473,BulletType!A$1:F$35,2)&amp;VLOOKUP(P473,BulletColor!A$1:C$25,3)</f>
        <v>刀弹 深蓝</v>
      </c>
      <c r="C473" s="3" t="str">
        <f t="shared" si="32"/>
        <v>Bullet115050</v>
      </c>
      <c r="D473" s="2">
        <f>VLOOKUP(O473,BulletType!A$2:N521,9)</f>
        <v>0</v>
      </c>
      <c r="E473" s="2">
        <f>VLOOKUP(O473,BulletType!A$2:N521,10)</f>
        <v>0</v>
      </c>
      <c r="F473" s="3" t="str">
        <f>CONCATENATE(VLOOKUP(O473,BulletType!A$2:I$35,8),VLOOKUP(P473,BulletColor!A$2:D$16,4))</f>
        <v>Bullet200050</v>
      </c>
      <c r="G473" s="3" t="str">
        <f>VLOOKUP(O473,BulletType!A$1:G$35,7)</f>
        <v>3,0.754</v>
      </c>
      <c r="H473" s="2">
        <f t="shared" si="30"/>
        <v>1</v>
      </c>
      <c r="I473">
        <f>VLOOKUP(O473,BulletType!A$1:F$35,3)</f>
        <v>1</v>
      </c>
      <c r="J473">
        <f>VLOOKUP(O473,BulletType!A$1:F$35,4)</f>
        <v>0</v>
      </c>
      <c r="K473">
        <f>VLOOKUP(O473,BulletType!A$1:F$35,5)</f>
        <v>12</v>
      </c>
      <c r="L473">
        <f>VLOOKUP(O473,BulletType!A$1:F$35,5)</f>
        <v>12</v>
      </c>
      <c r="M473">
        <f>VLOOKUP(O473,BulletType!A$1:F$35,6)</f>
        <v>6</v>
      </c>
      <c r="N473" s="3" t="str">
        <f>VLOOKUP(P473,BulletColor!A$2:B496,2)</f>
        <v>0,0.1,1</v>
      </c>
      <c r="O473">
        <v>15</v>
      </c>
      <c r="P473" s="2">
        <v>5</v>
      </c>
      <c r="Q473" s="2">
        <f t="shared" si="29"/>
        <v>1</v>
      </c>
    </row>
    <row r="474" spans="1:17" x14ac:dyDescent="0.2">
      <c r="A474" s="1">
        <f t="shared" si="31"/>
        <v>115070</v>
      </c>
      <c r="B474" s="3" t="str">
        <f>VLOOKUP(O474,BulletType!A$1:F$35,2)&amp;VLOOKUP(P474,BulletColor!A$1:C$25,3)</f>
        <v>刀弹 深青</v>
      </c>
      <c r="C474" s="3" t="str">
        <f t="shared" si="32"/>
        <v>Bullet115070</v>
      </c>
      <c r="D474" s="2">
        <f>VLOOKUP(O474,BulletType!A$2:N522,9)</f>
        <v>0</v>
      </c>
      <c r="E474" s="2">
        <f>VLOOKUP(O474,BulletType!A$2:N522,10)</f>
        <v>0</v>
      </c>
      <c r="F474" s="3" t="str">
        <f>CONCATENATE(VLOOKUP(O474,BulletType!A$2:I$35,8),VLOOKUP(P474,BulletColor!A$2:D$16,4))</f>
        <v>Bullet200070</v>
      </c>
      <c r="G474" s="3" t="str">
        <f>VLOOKUP(O474,BulletType!A$1:G$35,7)</f>
        <v>3,0.754</v>
      </c>
      <c r="H474" s="2">
        <f t="shared" si="30"/>
        <v>0</v>
      </c>
      <c r="I474">
        <f>VLOOKUP(O474,BulletType!A$1:F$35,3)</f>
        <v>1</v>
      </c>
      <c r="J474">
        <f>VLOOKUP(O474,BulletType!A$1:F$35,4)</f>
        <v>0</v>
      </c>
      <c r="K474">
        <f>VLOOKUP(O474,BulletType!A$1:F$35,5)</f>
        <v>12</v>
      </c>
      <c r="L474">
        <f>VLOOKUP(O474,BulletType!A$1:F$35,5)</f>
        <v>12</v>
      </c>
      <c r="M474">
        <f>VLOOKUP(O474,BulletType!A$1:F$35,6)</f>
        <v>6</v>
      </c>
      <c r="N474" s="3" t="str">
        <f>VLOOKUP(P474,BulletColor!A$2:B497,2)</f>
        <v>0.25,1,1</v>
      </c>
      <c r="O474">
        <v>15</v>
      </c>
      <c r="P474" s="2">
        <v>7</v>
      </c>
      <c r="Q474" s="2">
        <f t="shared" si="29"/>
        <v>0</v>
      </c>
    </row>
    <row r="475" spans="1:17" x14ac:dyDescent="0.2">
      <c r="A475" s="1">
        <f t="shared" si="31"/>
        <v>115071</v>
      </c>
      <c r="B475" s="3" t="str">
        <f>VLOOKUP(O475,BulletType!A$1:F$35,2)&amp;VLOOKUP(P475,BulletColor!A$1:C$25,3)</f>
        <v>刀弹 深青</v>
      </c>
      <c r="C475" s="3" t="str">
        <f t="shared" si="32"/>
        <v>Bullet115070</v>
      </c>
      <c r="D475" s="2">
        <f>VLOOKUP(O475,BulletType!A$2:N523,9)</f>
        <v>0</v>
      </c>
      <c r="E475" s="2">
        <f>VLOOKUP(O475,BulletType!A$2:N523,10)</f>
        <v>0</v>
      </c>
      <c r="F475" s="3" t="str">
        <f>CONCATENATE(VLOOKUP(O475,BulletType!A$2:I$35,8),VLOOKUP(P475,BulletColor!A$2:D$16,4))</f>
        <v>Bullet200070</v>
      </c>
      <c r="G475" s="3" t="str">
        <f>VLOOKUP(O475,BulletType!A$1:G$35,7)</f>
        <v>3,0.754</v>
      </c>
      <c r="H475" s="2">
        <f t="shared" si="30"/>
        <v>1</v>
      </c>
      <c r="I475">
        <f>VLOOKUP(O475,BulletType!A$1:F$35,3)</f>
        <v>1</v>
      </c>
      <c r="J475">
        <f>VLOOKUP(O475,BulletType!A$1:F$35,4)</f>
        <v>0</v>
      </c>
      <c r="K475">
        <f>VLOOKUP(O475,BulletType!A$1:F$35,5)</f>
        <v>12</v>
      </c>
      <c r="L475">
        <f>VLOOKUP(O475,BulletType!A$1:F$35,5)</f>
        <v>12</v>
      </c>
      <c r="M475">
        <f>VLOOKUP(O475,BulletType!A$1:F$35,6)</f>
        <v>6</v>
      </c>
      <c r="N475" s="3" t="str">
        <f>VLOOKUP(P475,BulletColor!A$2:B498,2)</f>
        <v>0.25,1,1</v>
      </c>
      <c r="O475">
        <v>15</v>
      </c>
      <c r="P475" s="2">
        <v>7</v>
      </c>
      <c r="Q475" s="2">
        <f t="shared" si="29"/>
        <v>1</v>
      </c>
    </row>
    <row r="476" spans="1:17" x14ac:dyDescent="0.2">
      <c r="A476" s="1">
        <f t="shared" si="31"/>
        <v>115090</v>
      </c>
      <c r="B476" s="3" t="str">
        <f>VLOOKUP(O476,BulletType!A$1:F$35,2)&amp;VLOOKUP(P476,BulletColor!A$1:C$25,3)</f>
        <v>刀弹 深绿</v>
      </c>
      <c r="C476" s="3" t="str">
        <f t="shared" si="32"/>
        <v>Bullet115090</v>
      </c>
      <c r="D476" s="2">
        <f>VLOOKUP(O476,BulletType!A$2:N524,9)</f>
        <v>0</v>
      </c>
      <c r="E476" s="2">
        <f>VLOOKUP(O476,BulletType!A$2:N524,10)</f>
        <v>0</v>
      </c>
      <c r="F476" s="3" t="str">
        <f>CONCATENATE(VLOOKUP(O476,BulletType!A$2:I$35,8),VLOOKUP(P476,BulletColor!A$2:D$16,4))</f>
        <v>Bullet200090</v>
      </c>
      <c r="G476" s="3" t="str">
        <f>VLOOKUP(O476,BulletType!A$1:G$35,7)</f>
        <v>3,0.754</v>
      </c>
      <c r="H476" s="2">
        <f t="shared" si="30"/>
        <v>0</v>
      </c>
      <c r="I476">
        <f>VLOOKUP(O476,BulletType!A$1:F$35,3)</f>
        <v>1</v>
      </c>
      <c r="J476">
        <f>VLOOKUP(O476,BulletType!A$1:F$35,4)</f>
        <v>0</v>
      </c>
      <c r="K476">
        <f>VLOOKUP(O476,BulletType!A$1:F$35,5)</f>
        <v>12</v>
      </c>
      <c r="L476">
        <f>VLOOKUP(O476,BulletType!A$1:F$35,5)</f>
        <v>12</v>
      </c>
      <c r="M476">
        <f>VLOOKUP(O476,BulletType!A$1:F$35,6)</f>
        <v>6</v>
      </c>
      <c r="N476" s="3" t="str">
        <f>VLOOKUP(P476,BulletColor!A$2:B499,2)</f>
        <v>0.36,0.78,1</v>
      </c>
      <c r="O476">
        <v>15</v>
      </c>
      <c r="P476" s="2">
        <v>9</v>
      </c>
      <c r="Q476" s="2">
        <f t="shared" si="29"/>
        <v>0</v>
      </c>
    </row>
    <row r="477" spans="1:17" x14ac:dyDescent="0.2">
      <c r="A477" s="1">
        <f t="shared" si="31"/>
        <v>115091</v>
      </c>
      <c r="B477" s="3" t="str">
        <f>VLOOKUP(O477,BulletType!A$1:F$35,2)&amp;VLOOKUP(P477,BulletColor!A$1:C$25,3)</f>
        <v>刀弹 深绿</v>
      </c>
      <c r="C477" s="3" t="str">
        <f t="shared" si="32"/>
        <v>Bullet115090</v>
      </c>
      <c r="D477" s="2">
        <f>VLOOKUP(O477,BulletType!A$2:N525,9)</f>
        <v>0</v>
      </c>
      <c r="E477" s="2">
        <f>VLOOKUP(O477,BulletType!A$2:N525,10)</f>
        <v>0</v>
      </c>
      <c r="F477" s="3" t="str">
        <f>CONCATENATE(VLOOKUP(O477,BulletType!A$2:I$35,8),VLOOKUP(P477,BulletColor!A$2:D$16,4))</f>
        <v>Bullet200090</v>
      </c>
      <c r="G477" s="3" t="str">
        <f>VLOOKUP(O477,BulletType!A$1:G$35,7)</f>
        <v>3,0.754</v>
      </c>
      <c r="H477" s="2">
        <f t="shared" si="30"/>
        <v>1</v>
      </c>
      <c r="I477">
        <f>VLOOKUP(O477,BulletType!A$1:F$35,3)</f>
        <v>1</v>
      </c>
      <c r="J477">
        <f>VLOOKUP(O477,BulletType!A$1:F$35,4)</f>
        <v>0</v>
      </c>
      <c r="K477">
        <f>VLOOKUP(O477,BulletType!A$1:F$35,5)</f>
        <v>12</v>
      </c>
      <c r="L477">
        <f>VLOOKUP(O477,BulletType!A$1:F$35,5)</f>
        <v>12</v>
      </c>
      <c r="M477">
        <f>VLOOKUP(O477,BulletType!A$1:F$35,6)</f>
        <v>6</v>
      </c>
      <c r="N477" s="3" t="str">
        <f>VLOOKUP(P477,BulletColor!A$2:B500,2)</f>
        <v>0.36,0.78,1</v>
      </c>
      <c r="O477">
        <v>15</v>
      </c>
      <c r="P477" s="2">
        <v>9</v>
      </c>
      <c r="Q477" s="2">
        <f t="shared" si="29"/>
        <v>1</v>
      </c>
    </row>
    <row r="478" spans="1:17" x14ac:dyDescent="0.2">
      <c r="A478" s="1">
        <f t="shared" si="31"/>
        <v>115130</v>
      </c>
      <c r="B478" s="3" t="str">
        <f>VLOOKUP(O478,BulletType!A$1:F$35,2)&amp;VLOOKUP(P478,BulletColor!A$1:C$25,3)</f>
        <v>刀弹 浅黄</v>
      </c>
      <c r="C478" s="3" t="str">
        <f t="shared" si="32"/>
        <v>Bullet115130</v>
      </c>
      <c r="D478" s="2">
        <f>VLOOKUP(O478,BulletType!A$2:N526,9)</f>
        <v>0</v>
      </c>
      <c r="E478" s="2">
        <f>VLOOKUP(O478,BulletType!A$2:N526,10)</f>
        <v>0</v>
      </c>
      <c r="F478" s="3" t="str">
        <f>CONCATENATE(VLOOKUP(O478,BulletType!A$2:I$35,8),VLOOKUP(P478,BulletColor!A$2:D$16,4))</f>
        <v>Bullet200130</v>
      </c>
      <c r="G478" s="3" t="str">
        <f>VLOOKUP(O478,BulletType!A$1:G$35,7)</f>
        <v>3,0.754</v>
      </c>
      <c r="H478" s="2">
        <f t="shared" si="30"/>
        <v>0</v>
      </c>
      <c r="I478">
        <f>VLOOKUP(O478,BulletType!A$1:F$35,3)</f>
        <v>1</v>
      </c>
      <c r="J478">
        <f>VLOOKUP(O478,BulletType!A$1:F$35,4)</f>
        <v>0</v>
      </c>
      <c r="K478">
        <f>VLOOKUP(O478,BulletType!A$1:F$35,5)</f>
        <v>12</v>
      </c>
      <c r="L478">
        <f>VLOOKUP(O478,BulletType!A$1:F$35,5)</f>
        <v>12</v>
      </c>
      <c r="M478">
        <f>VLOOKUP(O478,BulletType!A$1:F$35,6)</f>
        <v>6</v>
      </c>
      <c r="N478" s="3" t="str">
        <f>VLOOKUP(P478,BulletColor!A$2:B501,2)</f>
        <v>0.9,1,0.4</v>
      </c>
      <c r="O478">
        <v>15</v>
      </c>
      <c r="P478" s="2">
        <v>13</v>
      </c>
      <c r="Q478" s="2">
        <f t="shared" si="29"/>
        <v>0</v>
      </c>
    </row>
    <row r="479" spans="1:17" x14ac:dyDescent="0.2">
      <c r="A479" s="1">
        <f t="shared" si="31"/>
        <v>115131</v>
      </c>
      <c r="B479" s="3" t="str">
        <f>VLOOKUP(O479,BulletType!A$1:F$35,2)&amp;VLOOKUP(P479,BulletColor!A$1:C$25,3)</f>
        <v>刀弹 浅黄</v>
      </c>
      <c r="C479" s="3" t="str">
        <f t="shared" si="32"/>
        <v>Bullet115130</v>
      </c>
      <c r="D479" s="2">
        <f>VLOOKUP(O479,BulletType!A$2:N527,9)</f>
        <v>0</v>
      </c>
      <c r="E479" s="2">
        <f>VLOOKUP(O479,BulletType!A$2:N527,10)</f>
        <v>0</v>
      </c>
      <c r="F479" s="3" t="str">
        <f>CONCATENATE(VLOOKUP(O479,BulletType!A$2:I$35,8),VLOOKUP(P479,BulletColor!A$2:D$16,4))</f>
        <v>Bullet200130</v>
      </c>
      <c r="G479" s="3" t="str">
        <f>VLOOKUP(O479,BulletType!A$1:G$35,7)</f>
        <v>3,0.754</v>
      </c>
      <c r="H479" s="2">
        <f t="shared" si="30"/>
        <v>1</v>
      </c>
      <c r="I479">
        <f>VLOOKUP(O479,BulletType!A$1:F$35,3)</f>
        <v>1</v>
      </c>
      <c r="J479">
        <f>VLOOKUP(O479,BulletType!A$1:F$35,4)</f>
        <v>0</v>
      </c>
      <c r="K479">
        <f>VLOOKUP(O479,BulletType!A$1:F$35,5)</f>
        <v>12</v>
      </c>
      <c r="L479">
        <f>VLOOKUP(O479,BulletType!A$1:F$35,5)</f>
        <v>12</v>
      </c>
      <c r="M479">
        <f>VLOOKUP(O479,BulletType!A$1:F$35,6)</f>
        <v>6</v>
      </c>
      <c r="N479" s="3" t="str">
        <f>VLOOKUP(P479,BulletColor!A$2:B502,2)</f>
        <v>0.9,1,0.4</v>
      </c>
      <c r="O479">
        <v>15</v>
      </c>
      <c r="P479" s="2">
        <v>13</v>
      </c>
      <c r="Q479" s="2">
        <f t="shared" si="29"/>
        <v>1</v>
      </c>
    </row>
    <row r="480" spans="1:17" x14ac:dyDescent="0.2">
      <c r="A480" s="1">
        <f t="shared" si="31"/>
        <v>115150</v>
      </c>
      <c r="B480" s="3" t="str">
        <f>VLOOKUP(O480,BulletType!A$1:F$35,2)&amp;VLOOKUP(P480,BulletColor!A$1:C$25,3)</f>
        <v>刀弹 白</v>
      </c>
      <c r="C480" s="3" t="str">
        <f t="shared" si="32"/>
        <v>Bullet115150</v>
      </c>
      <c r="D480" s="2">
        <f>VLOOKUP(O480,BulletType!A$2:N528,9)</f>
        <v>0</v>
      </c>
      <c r="E480" s="2">
        <f>VLOOKUP(O480,BulletType!A$2:N528,10)</f>
        <v>0</v>
      </c>
      <c r="F480" s="3" t="str">
        <f>CONCATENATE(VLOOKUP(O480,BulletType!A$2:I$35,8),VLOOKUP(P480,BulletColor!A$2:D$16,4))</f>
        <v>Bullet200130</v>
      </c>
      <c r="G480" s="3" t="str">
        <f>VLOOKUP(O480,BulletType!A$1:G$35,7)</f>
        <v>3,0.754</v>
      </c>
      <c r="H480" s="2">
        <f t="shared" si="30"/>
        <v>0</v>
      </c>
      <c r="I480">
        <f>VLOOKUP(O480,BulletType!A$1:F$35,3)</f>
        <v>1</v>
      </c>
      <c r="J480">
        <f>VLOOKUP(O480,BulletType!A$1:F$35,4)</f>
        <v>0</v>
      </c>
      <c r="K480">
        <f>VLOOKUP(O480,BulletType!A$1:F$35,5)</f>
        <v>12</v>
      </c>
      <c r="L480">
        <f>VLOOKUP(O480,BulletType!A$1:F$35,5)</f>
        <v>12</v>
      </c>
      <c r="M480">
        <f>VLOOKUP(O480,BulletType!A$1:F$35,6)</f>
        <v>6</v>
      </c>
      <c r="N480" s="3" t="str">
        <f>VLOOKUP(P480,BulletColor!A$2:B503,2)</f>
        <v>0.8,0.8,0.8</v>
      </c>
      <c r="O480">
        <v>15</v>
      </c>
      <c r="P480" s="2">
        <v>15</v>
      </c>
      <c r="Q480" s="2">
        <f t="shared" si="29"/>
        <v>0</v>
      </c>
    </row>
    <row r="481" spans="1:17" x14ac:dyDescent="0.2">
      <c r="A481" s="1">
        <f t="shared" si="31"/>
        <v>115151</v>
      </c>
      <c r="B481" s="3" t="str">
        <f>VLOOKUP(O481,BulletType!A$1:F$35,2)&amp;VLOOKUP(P481,BulletColor!A$1:C$25,3)</f>
        <v>刀弹 白</v>
      </c>
      <c r="C481" s="3" t="str">
        <f t="shared" si="32"/>
        <v>Bullet115150</v>
      </c>
      <c r="D481" s="2">
        <f>VLOOKUP(O481,BulletType!A$2:N529,9)</f>
        <v>0</v>
      </c>
      <c r="E481" s="2">
        <f>VLOOKUP(O481,BulletType!A$2:N529,10)</f>
        <v>0</v>
      </c>
      <c r="F481" s="3" t="str">
        <f>CONCATENATE(VLOOKUP(O481,BulletType!A$2:I$35,8),VLOOKUP(P481,BulletColor!A$2:D$16,4))</f>
        <v>Bullet200130</v>
      </c>
      <c r="G481" s="3" t="str">
        <f>VLOOKUP(O481,BulletType!A$1:G$35,7)</f>
        <v>3,0.754</v>
      </c>
      <c r="H481" s="2">
        <f t="shared" si="30"/>
        <v>1</v>
      </c>
      <c r="I481">
        <f>VLOOKUP(O481,BulletType!A$1:F$35,3)</f>
        <v>1</v>
      </c>
      <c r="J481">
        <f>VLOOKUP(O481,BulletType!A$1:F$35,4)</f>
        <v>0</v>
      </c>
      <c r="K481">
        <f>VLOOKUP(O481,BulletType!A$1:F$35,5)</f>
        <v>12</v>
      </c>
      <c r="L481">
        <f>VLOOKUP(O481,BulletType!A$1:F$35,5)</f>
        <v>12</v>
      </c>
      <c r="M481">
        <f>VLOOKUP(O481,BulletType!A$1:F$35,6)</f>
        <v>6</v>
      </c>
      <c r="N481" s="3" t="str">
        <f>VLOOKUP(P481,BulletColor!A$2:B504,2)</f>
        <v>0.8,0.8,0.8</v>
      </c>
      <c r="O481">
        <v>15</v>
      </c>
      <c r="P481" s="2">
        <v>15</v>
      </c>
      <c r="Q481" s="2">
        <f t="shared" si="29"/>
        <v>1</v>
      </c>
    </row>
    <row r="482" spans="1:17" x14ac:dyDescent="0.2">
      <c r="A482" s="1">
        <f t="shared" si="31"/>
        <v>116000</v>
      </c>
      <c r="B482" s="3" t="str">
        <f>VLOOKUP(O482,BulletType!A$1:F$35,2)&amp;VLOOKUP(P482,BulletColor!A$1:C$25,3)</f>
        <v>蝶弹 灰</v>
      </c>
      <c r="C482" s="3" t="str">
        <f t="shared" si="32"/>
        <v>Bullet116000</v>
      </c>
      <c r="D482" s="2">
        <f>VLOOKUP(O482,BulletType!A$2:N530,9)</f>
        <v>0</v>
      </c>
      <c r="E482" s="2">
        <f>VLOOKUP(O482,BulletType!A$2:N530,10)</f>
        <v>0</v>
      </c>
      <c r="F482" s="3" t="str">
        <f>CONCATENATE(VLOOKUP(O482,BulletType!A$2:I$35,8),VLOOKUP(P482,BulletColor!A$2:D$16,4))</f>
        <v>Bullet200000</v>
      </c>
      <c r="G482" s="3" t="str">
        <f>VLOOKUP(O482,BulletType!A$1:G$35,7)</f>
        <v>2.8,0.7</v>
      </c>
      <c r="H482" s="2">
        <f t="shared" si="30"/>
        <v>0</v>
      </c>
      <c r="I482">
        <f>VLOOKUP(O482,BulletType!A$1:F$35,3)</f>
        <v>1</v>
      </c>
      <c r="J482">
        <f>VLOOKUP(O482,BulletType!A$1:F$35,4)</f>
        <v>0</v>
      </c>
      <c r="K482">
        <f>VLOOKUP(O482,BulletType!A$1:F$35,5)</f>
        <v>14</v>
      </c>
      <c r="L482">
        <f>VLOOKUP(O482,BulletType!A$1:F$35,5)</f>
        <v>14</v>
      </c>
      <c r="M482">
        <f>VLOOKUP(O482,BulletType!A$1:F$35,6)</f>
        <v>7</v>
      </c>
      <c r="N482" s="3" t="str">
        <f>VLOOKUP(P482,BulletColor!A$2:B505,2)</f>
        <v>0.5,0.5,0.5</v>
      </c>
      <c r="O482">
        <v>16</v>
      </c>
      <c r="P482" s="2">
        <v>0</v>
      </c>
      <c r="Q482" s="2">
        <f t="shared" si="29"/>
        <v>0</v>
      </c>
    </row>
    <row r="483" spans="1:17" x14ac:dyDescent="0.2">
      <c r="A483" s="1">
        <f t="shared" si="31"/>
        <v>116001</v>
      </c>
      <c r="B483" s="3" t="str">
        <f>VLOOKUP(O483,BulletType!A$1:F$35,2)&amp;VLOOKUP(P483,BulletColor!A$1:C$25,3)</f>
        <v>蝶弹 灰</v>
      </c>
      <c r="C483" s="3" t="str">
        <f t="shared" si="32"/>
        <v>Bullet116000</v>
      </c>
      <c r="D483" s="2">
        <f>VLOOKUP(O483,BulletType!A$2:N531,9)</f>
        <v>0</v>
      </c>
      <c r="E483" s="2">
        <f>VLOOKUP(O483,BulletType!A$2:N531,10)</f>
        <v>0</v>
      </c>
      <c r="F483" s="3" t="str">
        <f>CONCATENATE(VLOOKUP(O483,BulletType!A$2:I$35,8),VLOOKUP(P483,BulletColor!A$2:D$16,4))</f>
        <v>Bullet200000</v>
      </c>
      <c r="G483" s="3" t="str">
        <f>VLOOKUP(O483,BulletType!A$1:G$35,7)</f>
        <v>2.8,0.7</v>
      </c>
      <c r="H483" s="2">
        <f t="shared" si="30"/>
        <v>1</v>
      </c>
      <c r="I483">
        <f>VLOOKUP(O483,BulletType!A$1:F$35,3)</f>
        <v>1</v>
      </c>
      <c r="J483">
        <f>VLOOKUP(O483,BulletType!A$1:F$35,4)</f>
        <v>0</v>
      </c>
      <c r="K483">
        <f>VLOOKUP(O483,BulletType!A$1:F$35,5)</f>
        <v>14</v>
      </c>
      <c r="L483">
        <f>VLOOKUP(O483,BulletType!A$1:F$35,5)</f>
        <v>14</v>
      </c>
      <c r="M483">
        <f>VLOOKUP(O483,BulletType!A$1:F$35,6)</f>
        <v>7</v>
      </c>
      <c r="N483" s="3" t="str">
        <f>VLOOKUP(P483,BulletColor!A$2:B506,2)</f>
        <v>0.5,0.5,0.5</v>
      </c>
      <c r="O483">
        <v>16</v>
      </c>
      <c r="P483" s="2">
        <v>0</v>
      </c>
      <c r="Q483" s="2">
        <f t="shared" si="29"/>
        <v>1</v>
      </c>
    </row>
    <row r="484" spans="1:17" x14ac:dyDescent="0.2">
      <c r="A484" s="1">
        <f t="shared" si="31"/>
        <v>116010</v>
      </c>
      <c r="B484" s="3" t="str">
        <f>VLOOKUP(O484,BulletType!A$1:F$35,2)&amp;VLOOKUP(P484,BulletColor!A$1:C$25,3)</f>
        <v>蝶弹 深红</v>
      </c>
      <c r="C484" s="3" t="str">
        <f t="shared" si="32"/>
        <v>Bullet116010</v>
      </c>
      <c r="D484" s="2">
        <f>VLOOKUP(O484,BulletType!A$2:N532,9)</f>
        <v>0</v>
      </c>
      <c r="E484" s="2">
        <f>VLOOKUP(O484,BulletType!A$2:N532,10)</f>
        <v>0</v>
      </c>
      <c r="F484" s="3" t="str">
        <f>CONCATENATE(VLOOKUP(O484,BulletType!A$2:I$35,8),VLOOKUP(P484,BulletColor!A$2:D$16,4))</f>
        <v>Bullet200010</v>
      </c>
      <c r="G484" s="3" t="str">
        <f>VLOOKUP(O484,BulletType!A$1:G$35,7)</f>
        <v>2.8,0.7</v>
      </c>
      <c r="H484" s="2">
        <f t="shared" si="30"/>
        <v>0</v>
      </c>
      <c r="I484">
        <f>VLOOKUP(O484,BulletType!A$1:F$35,3)</f>
        <v>1</v>
      </c>
      <c r="J484">
        <f>VLOOKUP(O484,BulletType!A$1:F$35,4)</f>
        <v>0</v>
      </c>
      <c r="K484">
        <f>VLOOKUP(O484,BulletType!A$1:F$35,5)</f>
        <v>14</v>
      </c>
      <c r="L484">
        <f>VLOOKUP(O484,BulletType!A$1:F$35,5)</f>
        <v>14</v>
      </c>
      <c r="M484">
        <f>VLOOKUP(O484,BulletType!A$1:F$35,6)</f>
        <v>7</v>
      </c>
      <c r="N484" s="3" t="str">
        <f>VLOOKUP(P484,BulletColor!A$2:B507,2)</f>
        <v>0.625,0.3,0.3</v>
      </c>
      <c r="O484">
        <v>16</v>
      </c>
      <c r="P484" s="2">
        <v>1</v>
      </c>
      <c r="Q484" s="2">
        <f t="shared" si="29"/>
        <v>0</v>
      </c>
    </row>
    <row r="485" spans="1:17" x14ac:dyDescent="0.2">
      <c r="A485" s="1">
        <f t="shared" si="31"/>
        <v>116011</v>
      </c>
      <c r="B485" s="3" t="str">
        <f>VLOOKUP(O485,BulletType!A$1:F$35,2)&amp;VLOOKUP(P485,BulletColor!A$1:C$25,3)</f>
        <v>蝶弹 深红</v>
      </c>
      <c r="C485" s="3" t="str">
        <f t="shared" si="32"/>
        <v>Bullet116010</v>
      </c>
      <c r="D485" s="2">
        <f>VLOOKUP(O485,BulletType!A$2:N533,9)</f>
        <v>0</v>
      </c>
      <c r="E485" s="2">
        <f>VLOOKUP(O485,BulletType!A$2:N533,10)</f>
        <v>0</v>
      </c>
      <c r="F485" s="3" t="str">
        <f>CONCATENATE(VLOOKUP(O485,BulletType!A$2:I$35,8),VLOOKUP(P485,BulletColor!A$2:D$16,4))</f>
        <v>Bullet200010</v>
      </c>
      <c r="G485" s="3" t="str">
        <f>VLOOKUP(O485,BulletType!A$1:G$35,7)</f>
        <v>2.8,0.7</v>
      </c>
      <c r="H485" s="2">
        <f t="shared" si="30"/>
        <v>1</v>
      </c>
      <c r="I485">
        <f>VLOOKUP(O485,BulletType!A$1:F$35,3)</f>
        <v>1</v>
      </c>
      <c r="J485">
        <f>VLOOKUP(O485,BulletType!A$1:F$35,4)</f>
        <v>0</v>
      </c>
      <c r="K485">
        <f>VLOOKUP(O485,BulletType!A$1:F$35,5)</f>
        <v>14</v>
      </c>
      <c r="L485">
        <f>VLOOKUP(O485,BulletType!A$1:F$35,5)</f>
        <v>14</v>
      </c>
      <c r="M485">
        <f>VLOOKUP(O485,BulletType!A$1:F$35,6)</f>
        <v>7</v>
      </c>
      <c r="N485" s="3" t="str">
        <f>VLOOKUP(P485,BulletColor!A$2:B508,2)</f>
        <v>0.625,0.3,0.3</v>
      </c>
      <c r="O485">
        <v>16</v>
      </c>
      <c r="P485" s="2">
        <v>1</v>
      </c>
      <c r="Q485" s="2">
        <f t="shared" si="29"/>
        <v>1</v>
      </c>
    </row>
    <row r="486" spans="1:17" x14ac:dyDescent="0.2">
      <c r="A486" s="1">
        <f t="shared" si="31"/>
        <v>116030</v>
      </c>
      <c r="B486" s="3" t="str">
        <f>VLOOKUP(O486,BulletType!A$1:F$35,2)&amp;VLOOKUP(P486,BulletColor!A$1:C$25,3)</f>
        <v>蝶弹 深紫</v>
      </c>
      <c r="C486" s="3" t="str">
        <f t="shared" si="32"/>
        <v>Bullet116030</v>
      </c>
      <c r="D486" s="2">
        <f>VLOOKUP(O486,BulletType!A$2:N534,9)</f>
        <v>0</v>
      </c>
      <c r="E486" s="2">
        <f>VLOOKUP(O486,BulletType!A$2:N534,10)</f>
        <v>0</v>
      </c>
      <c r="F486" s="3" t="str">
        <f>CONCATENATE(VLOOKUP(O486,BulletType!A$2:I$35,8),VLOOKUP(P486,BulletColor!A$2:D$16,4))</f>
        <v>Bullet200030</v>
      </c>
      <c r="G486" s="3" t="str">
        <f>VLOOKUP(O486,BulletType!A$1:G$35,7)</f>
        <v>2.8,0.7</v>
      </c>
      <c r="H486" s="2">
        <f t="shared" si="30"/>
        <v>0</v>
      </c>
      <c r="I486">
        <f>VLOOKUP(O486,BulletType!A$1:F$35,3)</f>
        <v>1</v>
      </c>
      <c r="J486">
        <f>VLOOKUP(O486,BulletType!A$1:F$35,4)</f>
        <v>0</v>
      </c>
      <c r="K486">
        <f>VLOOKUP(O486,BulletType!A$1:F$35,5)</f>
        <v>14</v>
      </c>
      <c r="L486">
        <f>VLOOKUP(O486,BulletType!A$1:F$35,5)</f>
        <v>14</v>
      </c>
      <c r="M486">
        <f>VLOOKUP(O486,BulletType!A$1:F$35,6)</f>
        <v>7</v>
      </c>
      <c r="N486" s="3" t="str">
        <f>VLOOKUP(P486,BulletColor!A$2:B509,2)</f>
        <v>1,0.65,1</v>
      </c>
      <c r="O486">
        <v>16</v>
      </c>
      <c r="P486" s="2">
        <v>3</v>
      </c>
      <c r="Q486" s="2">
        <f t="shared" si="29"/>
        <v>0</v>
      </c>
    </row>
    <row r="487" spans="1:17" x14ac:dyDescent="0.2">
      <c r="A487" s="1">
        <f t="shared" si="31"/>
        <v>116031</v>
      </c>
      <c r="B487" s="3" t="str">
        <f>VLOOKUP(O487,BulletType!A$1:F$35,2)&amp;VLOOKUP(P487,BulletColor!A$1:C$25,3)</f>
        <v>蝶弹 深紫</v>
      </c>
      <c r="C487" s="3" t="str">
        <f t="shared" si="32"/>
        <v>Bullet116030</v>
      </c>
      <c r="D487" s="2">
        <f>VLOOKUP(O487,BulletType!A$2:N535,9)</f>
        <v>0</v>
      </c>
      <c r="E487" s="2">
        <f>VLOOKUP(O487,BulletType!A$2:N535,10)</f>
        <v>0</v>
      </c>
      <c r="F487" s="3" t="str">
        <f>CONCATENATE(VLOOKUP(O487,BulletType!A$2:I$35,8),VLOOKUP(P487,BulletColor!A$2:D$16,4))</f>
        <v>Bullet200030</v>
      </c>
      <c r="G487" s="3" t="str">
        <f>VLOOKUP(O487,BulletType!A$1:G$35,7)</f>
        <v>2.8,0.7</v>
      </c>
      <c r="H487" s="2">
        <f t="shared" si="30"/>
        <v>1</v>
      </c>
      <c r="I487">
        <f>VLOOKUP(O487,BulletType!A$1:F$35,3)</f>
        <v>1</v>
      </c>
      <c r="J487">
        <f>VLOOKUP(O487,BulletType!A$1:F$35,4)</f>
        <v>0</v>
      </c>
      <c r="K487">
        <f>VLOOKUP(O487,BulletType!A$1:F$35,5)</f>
        <v>14</v>
      </c>
      <c r="L487">
        <f>VLOOKUP(O487,BulletType!A$1:F$35,5)</f>
        <v>14</v>
      </c>
      <c r="M487">
        <f>VLOOKUP(O487,BulletType!A$1:F$35,6)</f>
        <v>7</v>
      </c>
      <c r="N487" s="3" t="str">
        <f>VLOOKUP(P487,BulletColor!A$2:B510,2)</f>
        <v>1,0.65,1</v>
      </c>
      <c r="O487">
        <v>16</v>
      </c>
      <c r="P487" s="2">
        <v>3</v>
      </c>
      <c r="Q487" s="2">
        <f t="shared" si="29"/>
        <v>1</v>
      </c>
    </row>
    <row r="488" spans="1:17" x14ac:dyDescent="0.2">
      <c r="A488" s="1">
        <f t="shared" si="31"/>
        <v>116050</v>
      </c>
      <c r="B488" s="3" t="str">
        <f>VLOOKUP(O488,BulletType!A$1:F$35,2)&amp;VLOOKUP(P488,BulletColor!A$1:C$25,3)</f>
        <v>蝶弹 深蓝</v>
      </c>
      <c r="C488" s="3" t="str">
        <f t="shared" si="32"/>
        <v>Bullet116050</v>
      </c>
      <c r="D488" s="2">
        <f>VLOOKUP(O488,BulletType!A$2:N536,9)</f>
        <v>0</v>
      </c>
      <c r="E488" s="2">
        <f>VLOOKUP(O488,BulletType!A$2:N536,10)</f>
        <v>0</v>
      </c>
      <c r="F488" s="3" t="str">
        <f>CONCATENATE(VLOOKUP(O488,BulletType!A$2:I$35,8),VLOOKUP(P488,BulletColor!A$2:D$16,4))</f>
        <v>Bullet200050</v>
      </c>
      <c r="G488" s="3" t="str">
        <f>VLOOKUP(O488,BulletType!A$1:G$35,7)</f>
        <v>2.8,0.7</v>
      </c>
      <c r="H488" s="2">
        <f t="shared" si="30"/>
        <v>0</v>
      </c>
      <c r="I488">
        <f>VLOOKUP(O488,BulletType!A$1:F$35,3)</f>
        <v>1</v>
      </c>
      <c r="J488">
        <f>VLOOKUP(O488,BulletType!A$1:F$35,4)</f>
        <v>0</v>
      </c>
      <c r="K488">
        <f>VLOOKUP(O488,BulletType!A$1:F$35,5)</f>
        <v>14</v>
      </c>
      <c r="L488">
        <f>VLOOKUP(O488,BulletType!A$1:F$35,5)</f>
        <v>14</v>
      </c>
      <c r="M488">
        <f>VLOOKUP(O488,BulletType!A$1:F$35,6)</f>
        <v>7</v>
      </c>
      <c r="N488" s="3" t="str">
        <f>VLOOKUP(P488,BulletColor!A$2:B511,2)</f>
        <v>0,0.1,1</v>
      </c>
      <c r="O488">
        <v>16</v>
      </c>
      <c r="P488" s="2">
        <v>5</v>
      </c>
      <c r="Q488" s="2">
        <f t="shared" si="29"/>
        <v>0</v>
      </c>
    </row>
    <row r="489" spans="1:17" x14ac:dyDescent="0.2">
      <c r="A489" s="1">
        <f t="shared" si="31"/>
        <v>116051</v>
      </c>
      <c r="B489" s="3" t="str">
        <f>VLOOKUP(O489,BulletType!A$1:F$35,2)&amp;VLOOKUP(P489,BulletColor!A$1:C$25,3)</f>
        <v>蝶弹 深蓝</v>
      </c>
      <c r="C489" s="3" t="str">
        <f t="shared" si="32"/>
        <v>Bullet116050</v>
      </c>
      <c r="D489" s="2">
        <f>VLOOKUP(O489,BulletType!A$2:N537,9)</f>
        <v>0</v>
      </c>
      <c r="E489" s="2">
        <f>VLOOKUP(O489,BulletType!A$2:N537,10)</f>
        <v>0</v>
      </c>
      <c r="F489" s="3" t="str">
        <f>CONCATENATE(VLOOKUP(O489,BulletType!A$2:I$35,8),VLOOKUP(P489,BulletColor!A$2:D$16,4))</f>
        <v>Bullet200050</v>
      </c>
      <c r="G489" s="3" t="str">
        <f>VLOOKUP(O489,BulletType!A$1:G$35,7)</f>
        <v>2.8,0.7</v>
      </c>
      <c r="H489" s="2">
        <f t="shared" si="30"/>
        <v>1</v>
      </c>
      <c r="I489">
        <f>VLOOKUP(O489,BulletType!A$1:F$35,3)</f>
        <v>1</v>
      </c>
      <c r="J489">
        <f>VLOOKUP(O489,BulletType!A$1:F$35,4)</f>
        <v>0</v>
      </c>
      <c r="K489">
        <f>VLOOKUP(O489,BulletType!A$1:F$35,5)</f>
        <v>14</v>
      </c>
      <c r="L489">
        <f>VLOOKUP(O489,BulletType!A$1:F$35,5)</f>
        <v>14</v>
      </c>
      <c r="M489">
        <f>VLOOKUP(O489,BulletType!A$1:F$35,6)</f>
        <v>7</v>
      </c>
      <c r="N489" s="3" t="str">
        <f>VLOOKUP(P489,BulletColor!A$2:B512,2)</f>
        <v>0,0.1,1</v>
      </c>
      <c r="O489">
        <v>16</v>
      </c>
      <c r="P489" s="2">
        <v>5</v>
      </c>
      <c r="Q489" s="2">
        <f t="shared" si="29"/>
        <v>1</v>
      </c>
    </row>
    <row r="490" spans="1:17" x14ac:dyDescent="0.2">
      <c r="A490" s="1">
        <f t="shared" si="31"/>
        <v>116070</v>
      </c>
      <c r="B490" s="3" t="str">
        <f>VLOOKUP(O490,BulletType!A$1:F$35,2)&amp;VLOOKUP(P490,BulletColor!A$1:C$25,3)</f>
        <v>蝶弹 深青</v>
      </c>
      <c r="C490" s="3" t="str">
        <f t="shared" si="32"/>
        <v>Bullet116070</v>
      </c>
      <c r="D490" s="2">
        <f>VLOOKUP(O490,BulletType!A$2:N538,9)</f>
        <v>0</v>
      </c>
      <c r="E490" s="2">
        <f>VLOOKUP(O490,BulletType!A$2:N538,10)</f>
        <v>0</v>
      </c>
      <c r="F490" s="3" t="str">
        <f>CONCATENATE(VLOOKUP(O490,BulletType!A$2:I$35,8),VLOOKUP(P490,BulletColor!A$2:D$16,4))</f>
        <v>Bullet200070</v>
      </c>
      <c r="G490" s="3" t="str">
        <f>VLOOKUP(O490,BulletType!A$1:G$35,7)</f>
        <v>2.8,0.7</v>
      </c>
      <c r="H490" s="2">
        <f t="shared" si="30"/>
        <v>0</v>
      </c>
      <c r="I490">
        <f>VLOOKUP(O490,BulletType!A$1:F$35,3)</f>
        <v>1</v>
      </c>
      <c r="J490">
        <f>VLOOKUP(O490,BulletType!A$1:F$35,4)</f>
        <v>0</v>
      </c>
      <c r="K490">
        <f>VLOOKUP(O490,BulletType!A$1:F$35,5)</f>
        <v>14</v>
      </c>
      <c r="L490">
        <f>VLOOKUP(O490,BulletType!A$1:F$35,5)</f>
        <v>14</v>
      </c>
      <c r="M490">
        <f>VLOOKUP(O490,BulletType!A$1:F$35,6)</f>
        <v>7</v>
      </c>
      <c r="N490" s="3" t="str">
        <f>VLOOKUP(P490,BulletColor!A$2:B513,2)</f>
        <v>0.25,1,1</v>
      </c>
      <c r="O490">
        <v>16</v>
      </c>
      <c r="P490" s="2">
        <v>7</v>
      </c>
      <c r="Q490" s="2">
        <f t="shared" si="29"/>
        <v>0</v>
      </c>
    </row>
    <row r="491" spans="1:17" x14ac:dyDescent="0.2">
      <c r="A491" s="1">
        <f t="shared" si="31"/>
        <v>116071</v>
      </c>
      <c r="B491" s="3" t="str">
        <f>VLOOKUP(O491,BulletType!A$1:F$35,2)&amp;VLOOKUP(P491,BulletColor!A$1:C$25,3)</f>
        <v>蝶弹 深青</v>
      </c>
      <c r="C491" s="3" t="str">
        <f t="shared" si="32"/>
        <v>Bullet116070</v>
      </c>
      <c r="D491" s="2">
        <f>VLOOKUP(O491,BulletType!A$2:N539,9)</f>
        <v>0</v>
      </c>
      <c r="E491" s="2">
        <f>VLOOKUP(O491,BulletType!A$2:N539,10)</f>
        <v>0</v>
      </c>
      <c r="F491" s="3" t="str">
        <f>CONCATENATE(VLOOKUP(O491,BulletType!A$2:I$35,8),VLOOKUP(P491,BulletColor!A$2:D$16,4))</f>
        <v>Bullet200070</v>
      </c>
      <c r="G491" s="3" t="str">
        <f>VLOOKUP(O491,BulletType!A$1:G$35,7)</f>
        <v>2.8,0.7</v>
      </c>
      <c r="H491" s="2">
        <f t="shared" si="30"/>
        <v>1</v>
      </c>
      <c r="I491">
        <f>VLOOKUP(O491,BulletType!A$1:F$35,3)</f>
        <v>1</v>
      </c>
      <c r="J491">
        <f>VLOOKUP(O491,BulletType!A$1:F$35,4)</f>
        <v>0</v>
      </c>
      <c r="K491">
        <f>VLOOKUP(O491,BulletType!A$1:F$35,5)</f>
        <v>14</v>
      </c>
      <c r="L491">
        <f>VLOOKUP(O491,BulletType!A$1:F$35,5)</f>
        <v>14</v>
      </c>
      <c r="M491">
        <f>VLOOKUP(O491,BulletType!A$1:F$35,6)</f>
        <v>7</v>
      </c>
      <c r="N491" s="3" t="str">
        <f>VLOOKUP(P491,BulletColor!A$2:B514,2)</f>
        <v>0.25,1,1</v>
      </c>
      <c r="O491">
        <v>16</v>
      </c>
      <c r="P491" s="2">
        <v>7</v>
      </c>
      <c r="Q491" s="2">
        <f t="shared" ref="Q491:Q554" si="33">MOD((ROW()-2),2)</f>
        <v>1</v>
      </c>
    </row>
    <row r="492" spans="1:17" x14ac:dyDescent="0.2">
      <c r="A492" s="1">
        <f t="shared" si="31"/>
        <v>116090</v>
      </c>
      <c r="B492" s="3" t="str">
        <f>VLOOKUP(O492,BulletType!A$1:F$35,2)&amp;VLOOKUP(P492,BulletColor!A$1:C$25,3)</f>
        <v>蝶弹 深绿</v>
      </c>
      <c r="C492" s="3" t="str">
        <f t="shared" si="32"/>
        <v>Bullet116090</v>
      </c>
      <c r="D492" s="2">
        <f>VLOOKUP(O492,BulletType!A$2:N540,9)</f>
        <v>0</v>
      </c>
      <c r="E492" s="2">
        <f>VLOOKUP(O492,BulletType!A$2:N540,10)</f>
        <v>0</v>
      </c>
      <c r="F492" s="3" t="str">
        <f>CONCATENATE(VLOOKUP(O492,BulletType!A$2:I$35,8),VLOOKUP(P492,BulletColor!A$2:D$16,4))</f>
        <v>Bullet200090</v>
      </c>
      <c r="G492" s="3" t="str">
        <f>VLOOKUP(O492,BulletType!A$1:G$35,7)</f>
        <v>2.8,0.7</v>
      </c>
      <c r="H492" s="2">
        <f t="shared" si="30"/>
        <v>0</v>
      </c>
      <c r="I492">
        <f>VLOOKUP(O492,BulletType!A$1:F$35,3)</f>
        <v>1</v>
      </c>
      <c r="J492">
        <f>VLOOKUP(O492,BulletType!A$1:F$35,4)</f>
        <v>0</v>
      </c>
      <c r="K492">
        <f>VLOOKUP(O492,BulletType!A$1:F$35,5)</f>
        <v>14</v>
      </c>
      <c r="L492">
        <f>VLOOKUP(O492,BulletType!A$1:F$35,5)</f>
        <v>14</v>
      </c>
      <c r="M492">
        <f>VLOOKUP(O492,BulletType!A$1:F$35,6)</f>
        <v>7</v>
      </c>
      <c r="N492" s="3" t="str">
        <f>VLOOKUP(P492,BulletColor!A$2:B515,2)</f>
        <v>0.36,0.78,1</v>
      </c>
      <c r="O492">
        <v>16</v>
      </c>
      <c r="P492" s="2">
        <v>9</v>
      </c>
      <c r="Q492" s="2">
        <f t="shared" si="33"/>
        <v>0</v>
      </c>
    </row>
    <row r="493" spans="1:17" x14ac:dyDescent="0.2">
      <c r="A493" s="1">
        <f t="shared" si="31"/>
        <v>116091</v>
      </c>
      <c r="B493" s="3" t="str">
        <f>VLOOKUP(O493,BulletType!A$1:F$35,2)&amp;VLOOKUP(P493,BulletColor!A$1:C$25,3)</f>
        <v>蝶弹 深绿</v>
      </c>
      <c r="C493" s="3" t="str">
        <f t="shared" si="32"/>
        <v>Bullet116090</v>
      </c>
      <c r="D493" s="2">
        <f>VLOOKUP(O493,BulletType!A$2:N541,9)</f>
        <v>0</v>
      </c>
      <c r="E493" s="2">
        <f>VLOOKUP(O493,BulletType!A$2:N541,10)</f>
        <v>0</v>
      </c>
      <c r="F493" s="3" t="str">
        <f>CONCATENATE(VLOOKUP(O493,BulletType!A$2:I$35,8),VLOOKUP(P493,BulletColor!A$2:D$16,4))</f>
        <v>Bullet200090</v>
      </c>
      <c r="G493" s="3" t="str">
        <f>VLOOKUP(O493,BulletType!A$1:G$35,7)</f>
        <v>2.8,0.7</v>
      </c>
      <c r="H493" s="2">
        <f t="shared" si="30"/>
        <v>1</v>
      </c>
      <c r="I493">
        <f>VLOOKUP(O493,BulletType!A$1:F$35,3)</f>
        <v>1</v>
      </c>
      <c r="J493">
        <f>VLOOKUP(O493,BulletType!A$1:F$35,4)</f>
        <v>0</v>
      </c>
      <c r="K493">
        <f>VLOOKUP(O493,BulletType!A$1:F$35,5)</f>
        <v>14</v>
      </c>
      <c r="L493">
        <f>VLOOKUP(O493,BulletType!A$1:F$35,5)</f>
        <v>14</v>
      </c>
      <c r="M493">
        <f>VLOOKUP(O493,BulletType!A$1:F$35,6)</f>
        <v>7</v>
      </c>
      <c r="N493" s="3" t="str">
        <f>VLOOKUP(P493,BulletColor!A$2:B516,2)</f>
        <v>0.36,0.78,1</v>
      </c>
      <c r="O493">
        <v>16</v>
      </c>
      <c r="P493" s="2">
        <v>9</v>
      </c>
      <c r="Q493" s="2">
        <f t="shared" si="33"/>
        <v>1</v>
      </c>
    </row>
    <row r="494" spans="1:17" x14ac:dyDescent="0.2">
      <c r="A494" s="1">
        <f t="shared" si="31"/>
        <v>116130</v>
      </c>
      <c r="B494" s="3" t="str">
        <f>VLOOKUP(O494,BulletType!A$1:F$35,2)&amp;VLOOKUP(P494,BulletColor!A$1:C$25,3)</f>
        <v>蝶弹 浅黄</v>
      </c>
      <c r="C494" s="3" t="str">
        <f t="shared" si="32"/>
        <v>Bullet116130</v>
      </c>
      <c r="D494" s="2">
        <f>VLOOKUP(O494,BulletType!A$2:N542,9)</f>
        <v>0</v>
      </c>
      <c r="E494" s="2">
        <f>VLOOKUP(O494,BulletType!A$2:N542,10)</f>
        <v>0</v>
      </c>
      <c r="F494" s="3" t="str">
        <f>CONCATENATE(VLOOKUP(O494,BulletType!A$2:I$35,8),VLOOKUP(P494,BulletColor!A$2:D$16,4))</f>
        <v>Bullet200130</v>
      </c>
      <c r="G494" s="3" t="str">
        <f>VLOOKUP(O494,BulletType!A$1:G$35,7)</f>
        <v>2.8,0.7</v>
      </c>
      <c r="H494" s="2">
        <f t="shared" si="30"/>
        <v>0</v>
      </c>
      <c r="I494">
        <f>VLOOKUP(O494,BulletType!A$1:F$35,3)</f>
        <v>1</v>
      </c>
      <c r="J494">
        <f>VLOOKUP(O494,BulletType!A$1:F$35,4)</f>
        <v>0</v>
      </c>
      <c r="K494">
        <f>VLOOKUP(O494,BulletType!A$1:F$35,5)</f>
        <v>14</v>
      </c>
      <c r="L494">
        <f>VLOOKUP(O494,BulletType!A$1:F$35,5)</f>
        <v>14</v>
      </c>
      <c r="M494">
        <f>VLOOKUP(O494,BulletType!A$1:F$35,6)</f>
        <v>7</v>
      </c>
      <c r="N494" s="3" t="str">
        <f>VLOOKUP(P494,BulletColor!A$2:B517,2)</f>
        <v>0.9,1,0.4</v>
      </c>
      <c r="O494">
        <v>16</v>
      </c>
      <c r="P494" s="2">
        <v>13</v>
      </c>
      <c r="Q494" s="2">
        <f t="shared" si="33"/>
        <v>0</v>
      </c>
    </row>
    <row r="495" spans="1:17" x14ac:dyDescent="0.2">
      <c r="A495" s="1">
        <f t="shared" si="31"/>
        <v>116131</v>
      </c>
      <c r="B495" s="3" t="str">
        <f>VLOOKUP(O495,BulletType!A$1:F$35,2)&amp;VLOOKUP(P495,BulletColor!A$1:C$25,3)</f>
        <v>蝶弹 浅黄</v>
      </c>
      <c r="C495" s="3" t="str">
        <f t="shared" si="32"/>
        <v>Bullet116130</v>
      </c>
      <c r="D495" s="2">
        <f>VLOOKUP(O495,BulletType!A$2:N543,9)</f>
        <v>0</v>
      </c>
      <c r="E495" s="2">
        <f>VLOOKUP(O495,BulletType!A$2:N543,10)</f>
        <v>0</v>
      </c>
      <c r="F495" s="3" t="str">
        <f>CONCATENATE(VLOOKUP(O495,BulletType!A$2:I$35,8),VLOOKUP(P495,BulletColor!A$2:D$16,4))</f>
        <v>Bullet200130</v>
      </c>
      <c r="G495" s="3" t="str">
        <f>VLOOKUP(O495,BulletType!A$1:G$35,7)</f>
        <v>2.8,0.7</v>
      </c>
      <c r="H495" s="2">
        <f t="shared" si="30"/>
        <v>1</v>
      </c>
      <c r="I495">
        <f>VLOOKUP(O495,BulletType!A$1:F$35,3)</f>
        <v>1</v>
      </c>
      <c r="J495">
        <f>VLOOKUP(O495,BulletType!A$1:F$35,4)</f>
        <v>0</v>
      </c>
      <c r="K495">
        <f>VLOOKUP(O495,BulletType!A$1:F$35,5)</f>
        <v>14</v>
      </c>
      <c r="L495">
        <f>VLOOKUP(O495,BulletType!A$1:F$35,5)</f>
        <v>14</v>
      </c>
      <c r="M495">
        <f>VLOOKUP(O495,BulletType!A$1:F$35,6)</f>
        <v>7</v>
      </c>
      <c r="N495" s="3" t="str">
        <f>VLOOKUP(P495,BulletColor!A$2:B518,2)</f>
        <v>0.9,1,0.4</v>
      </c>
      <c r="O495">
        <v>16</v>
      </c>
      <c r="P495" s="2">
        <v>13</v>
      </c>
      <c r="Q495" s="2">
        <f t="shared" si="33"/>
        <v>1</v>
      </c>
    </row>
    <row r="496" spans="1:17" x14ac:dyDescent="0.2">
      <c r="A496" s="1">
        <f t="shared" si="31"/>
        <v>116150</v>
      </c>
      <c r="B496" s="3" t="str">
        <f>VLOOKUP(O496,BulletType!A$1:F$35,2)&amp;VLOOKUP(P496,BulletColor!A$1:C$25,3)</f>
        <v>蝶弹 白</v>
      </c>
      <c r="C496" s="3" t="str">
        <f t="shared" si="32"/>
        <v>Bullet116150</v>
      </c>
      <c r="D496" s="2">
        <f>VLOOKUP(O496,BulletType!A$2:N544,9)</f>
        <v>0</v>
      </c>
      <c r="E496" s="2">
        <f>VLOOKUP(O496,BulletType!A$2:N544,10)</f>
        <v>0</v>
      </c>
      <c r="F496" s="3" t="str">
        <f>CONCATENATE(VLOOKUP(O496,BulletType!A$2:I$35,8),VLOOKUP(P496,BulletColor!A$2:D$16,4))</f>
        <v>Bullet200130</v>
      </c>
      <c r="G496" s="3" t="str">
        <f>VLOOKUP(O496,BulletType!A$1:G$35,7)</f>
        <v>2.8,0.7</v>
      </c>
      <c r="H496" s="2">
        <f t="shared" si="30"/>
        <v>0</v>
      </c>
      <c r="I496">
        <f>VLOOKUP(O496,BulletType!A$1:F$35,3)</f>
        <v>1</v>
      </c>
      <c r="J496">
        <f>VLOOKUP(O496,BulletType!A$1:F$35,4)</f>
        <v>0</v>
      </c>
      <c r="K496">
        <f>VLOOKUP(O496,BulletType!A$1:F$35,5)</f>
        <v>14</v>
      </c>
      <c r="L496">
        <f>VLOOKUP(O496,BulletType!A$1:F$35,5)</f>
        <v>14</v>
      </c>
      <c r="M496">
        <f>VLOOKUP(O496,BulletType!A$1:F$35,6)</f>
        <v>7</v>
      </c>
      <c r="N496" s="3" t="str">
        <f>VLOOKUP(P496,BulletColor!A$2:B519,2)</f>
        <v>0.8,0.8,0.8</v>
      </c>
      <c r="O496">
        <v>16</v>
      </c>
      <c r="P496" s="2">
        <v>15</v>
      </c>
      <c r="Q496" s="2">
        <f t="shared" si="33"/>
        <v>0</v>
      </c>
    </row>
    <row r="497" spans="1:17" x14ac:dyDescent="0.2">
      <c r="A497" s="1">
        <f t="shared" si="31"/>
        <v>116151</v>
      </c>
      <c r="B497" s="3" t="str">
        <f>VLOOKUP(O497,BulletType!A$1:F$35,2)&amp;VLOOKUP(P497,BulletColor!A$1:C$25,3)</f>
        <v>蝶弹 白</v>
      </c>
      <c r="C497" s="3" t="str">
        <f t="shared" si="32"/>
        <v>Bullet116150</v>
      </c>
      <c r="D497" s="2">
        <f>VLOOKUP(O497,BulletType!A$2:N545,9)</f>
        <v>0</v>
      </c>
      <c r="E497" s="2">
        <f>VLOOKUP(O497,BulletType!A$2:N545,10)</f>
        <v>0</v>
      </c>
      <c r="F497" s="3" t="str">
        <f>CONCATENATE(VLOOKUP(O497,BulletType!A$2:I$35,8),VLOOKUP(P497,BulletColor!A$2:D$16,4))</f>
        <v>Bullet200130</v>
      </c>
      <c r="G497" s="3" t="str">
        <f>VLOOKUP(O497,BulletType!A$1:G$35,7)</f>
        <v>2.8,0.7</v>
      </c>
      <c r="H497" s="2">
        <f t="shared" si="30"/>
        <v>1</v>
      </c>
      <c r="I497">
        <f>VLOOKUP(O497,BulletType!A$1:F$35,3)</f>
        <v>1</v>
      </c>
      <c r="J497">
        <f>VLOOKUP(O497,BulletType!A$1:F$35,4)</f>
        <v>0</v>
      </c>
      <c r="K497">
        <f>VLOOKUP(O497,BulletType!A$1:F$35,5)</f>
        <v>14</v>
      </c>
      <c r="L497">
        <f>VLOOKUP(O497,BulletType!A$1:F$35,5)</f>
        <v>14</v>
      </c>
      <c r="M497">
        <f>VLOOKUP(O497,BulletType!A$1:F$35,6)</f>
        <v>7</v>
      </c>
      <c r="N497" s="3" t="str">
        <f>VLOOKUP(P497,BulletColor!A$2:B520,2)</f>
        <v>0.8,0.8,0.8</v>
      </c>
      <c r="O497">
        <v>16</v>
      </c>
      <c r="P497" s="2">
        <v>15</v>
      </c>
      <c r="Q497" s="2">
        <f t="shared" si="33"/>
        <v>1</v>
      </c>
    </row>
    <row r="498" spans="1:17" x14ac:dyDescent="0.2">
      <c r="A498" s="1">
        <f t="shared" si="31"/>
        <v>117000</v>
      </c>
      <c r="B498" s="3" t="str">
        <f>VLOOKUP(O498,BulletType!A$1:F$35,2)&amp;VLOOKUP(P498,BulletColor!A$1:C$25,3)</f>
        <v>星弹（大）灰</v>
      </c>
      <c r="C498" s="3" t="str">
        <f t="shared" si="32"/>
        <v>Bullet117000</v>
      </c>
      <c r="D498" s="2">
        <f>VLOOKUP(O498,BulletType!A$2:N546,9)</f>
        <v>0</v>
      </c>
      <c r="E498" s="2">
        <f>VLOOKUP(O498,BulletType!A$2:N546,10)</f>
        <v>0</v>
      </c>
      <c r="F498" s="3" t="str">
        <f>CONCATENATE(VLOOKUP(O498,BulletType!A$2:I$35,8),VLOOKUP(P498,BulletColor!A$2:D$16,4))</f>
        <v>Bullet200000</v>
      </c>
      <c r="G498" s="3" t="str">
        <f>VLOOKUP(O498,BulletType!A$1:G$35,7)</f>
        <v>4,0.998</v>
      </c>
      <c r="H498" s="2">
        <f t="shared" si="30"/>
        <v>0</v>
      </c>
      <c r="I498">
        <f>VLOOKUP(O498,BulletType!A$1:F$35,3)</f>
        <v>0</v>
      </c>
      <c r="J498">
        <f>VLOOKUP(O498,BulletType!A$1:F$35,4)</f>
        <v>3</v>
      </c>
      <c r="K498">
        <f>VLOOKUP(O498,BulletType!A$1:F$35,5)</f>
        <v>14</v>
      </c>
      <c r="L498">
        <f>VLOOKUP(O498,BulletType!A$1:F$35,5)</f>
        <v>14</v>
      </c>
      <c r="M498">
        <f>VLOOKUP(O498,BulletType!A$1:F$35,6)</f>
        <v>7</v>
      </c>
      <c r="N498" s="3" t="str">
        <f>VLOOKUP(P498,BulletColor!A$2:B521,2)</f>
        <v>0.5,0.5,0.5</v>
      </c>
      <c r="O498">
        <v>17</v>
      </c>
      <c r="P498" s="2">
        <v>0</v>
      </c>
      <c r="Q498" s="2">
        <f t="shared" si="33"/>
        <v>0</v>
      </c>
    </row>
    <row r="499" spans="1:17" x14ac:dyDescent="0.2">
      <c r="A499" s="1">
        <f t="shared" si="31"/>
        <v>117001</v>
      </c>
      <c r="B499" s="3" t="str">
        <f>VLOOKUP(O499,BulletType!A$1:F$35,2)&amp;VLOOKUP(P499,BulletColor!A$1:C$25,3)</f>
        <v>星弹（大）灰</v>
      </c>
      <c r="C499" s="3" t="str">
        <f t="shared" si="32"/>
        <v>Bullet117000</v>
      </c>
      <c r="D499" s="2">
        <f>VLOOKUP(O499,BulletType!A$2:N547,9)</f>
        <v>0</v>
      </c>
      <c r="E499" s="2">
        <f>VLOOKUP(O499,BulletType!A$2:N547,10)</f>
        <v>0</v>
      </c>
      <c r="F499" s="3" t="str">
        <f>CONCATENATE(VLOOKUP(O499,BulletType!A$2:I$35,8),VLOOKUP(P499,BulletColor!A$2:D$16,4))</f>
        <v>Bullet200000</v>
      </c>
      <c r="G499" s="3" t="str">
        <f>VLOOKUP(O499,BulletType!A$1:G$35,7)</f>
        <v>4,0.998</v>
      </c>
      <c r="H499" s="2">
        <f t="shared" si="30"/>
        <v>1</v>
      </c>
      <c r="I499">
        <f>VLOOKUP(O499,BulletType!A$1:F$35,3)</f>
        <v>0</v>
      </c>
      <c r="J499">
        <f>VLOOKUP(O499,BulletType!A$1:F$35,4)</f>
        <v>3</v>
      </c>
      <c r="K499">
        <f>VLOOKUP(O499,BulletType!A$1:F$35,5)</f>
        <v>14</v>
      </c>
      <c r="L499">
        <f>VLOOKUP(O499,BulletType!A$1:F$35,5)</f>
        <v>14</v>
      </c>
      <c r="M499">
        <f>VLOOKUP(O499,BulletType!A$1:F$35,6)</f>
        <v>7</v>
      </c>
      <c r="N499" s="3" t="str">
        <f>VLOOKUP(P499,BulletColor!A$2:B522,2)</f>
        <v>0.5,0.5,0.5</v>
      </c>
      <c r="O499">
        <v>17</v>
      </c>
      <c r="P499" s="2">
        <v>0</v>
      </c>
      <c r="Q499" s="2">
        <f t="shared" si="33"/>
        <v>1</v>
      </c>
    </row>
    <row r="500" spans="1:17" x14ac:dyDescent="0.2">
      <c r="A500" s="1">
        <f t="shared" si="31"/>
        <v>117010</v>
      </c>
      <c r="B500" s="3" t="str">
        <f>VLOOKUP(O500,BulletType!A$1:F$35,2)&amp;VLOOKUP(P500,BulletColor!A$1:C$25,3)</f>
        <v>星弹（大）深红</v>
      </c>
      <c r="C500" s="3" t="str">
        <f t="shared" si="32"/>
        <v>Bullet117010</v>
      </c>
      <c r="D500" s="2">
        <f>VLOOKUP(O500,BulletType!A$2:N548,9)</f>
        <v>0</v>
      </c>
      <c r="E500" s="2">
        <f>VLOOKUP(O500,BulletType!A$2:N548,10)</f>
        <v>0</v>
      </c>
      <c r="F500" s="3" t="str">
        <f>CONCATENATE(VLOOKUP(O500,BulletType!A$2:I$35,8),VLOOKUP(P500,BulletColor!A$2:D$16,4))</f>
        <v>Bullet200010</v>
      </c>
      <c r="G500" s="3" t="str">
        <f>VLOOKUP(O500,BulletType!A$1:G$35,7)</f>
        <v>4,0.998</v>
      </c>
      <c r="H500" s="2">
        <f t="shared" si="30"/>
        <v>0</v>
      </c>
      <c r="I500">
        <f>VLOOKUP(O500,BulletType!A$1:F$35,3)</f>
        <v>0</v>
      </c>
      <c r="J500">
        <f>VLOOKUP(O500,BulletType!A$1:F$35,4)</f>
        <v>3</v>
      </c>
      <c r="K500">
        <f>VLOOKUP(O500,BulletType!A$1:F$35,5)</f>
        <v>14</v>
      </c>
      <c r="L500">
        <f>VLOOKUP(O500,BulletType!A$1:F$35,5)</f>
        <v>14</v>
      </c>
      <c r="M500">
        <f>VLOOKUP(O500,BulletType!A$1:F$35,6)</f>
        <v>7</v>
      </c>
      <c r="N500" s="3" t="str">
        <f>VLOOKUP(P500,BulletColor!A$2:B523,2)</f>
        <v>0.625,0.3,0.3</v>
      </c>
      <c r="O500">
        <v>17</v>
      </c>
      <c r="P500" s="2">
        <v>1</v>
      </c>
      <c r="Q500" s="2">
        <f t="shared" si="33"/>
        <v>0</v>
      </c>
    </row>
    <row r="501" spans="1:17" x14ac:dyDescent="0.2">
      <c r="A501" s="1">
        <f t="shared" si="31"/>
        <v>117011</v>
      </c>
      <c r="B501" s="3" t="str">
        <f>VLOOKUP(O501,BulletType!A$1:F$35,2)&amp;VLOOKUP(P501,BulletColor!A$1:C$25,3)</f>
        <v>星弹（大）深红</v>
      </c>
      <c r="C501" s="3" t="str">
        <f t="shared" si="32"/>
        <v>Bullet117010</v>
      </c>
      <c r="D501" s="2">
        <f>VLOOKUP(O501,BulletType!A$2:N549,9)</f>
        <v>0</v>
      </c>
      <c r="E501" s="2">
        <f>VLOOKUP(O501,BulletType!A$2:N549,10)</f>
        <v>0</v>
      </c>
      <c r="F501" s="3" t="str">
        <f>CONCATENATE(VLOOKUP(O501,BulletType!A$2:I$35,8),VLOOKUP(P501,BulletColor!A$2:D$16,4))</f>
        <v>Bullet200010</v>
      </c>
      <c r="G501" s="3" t="str">
        <f>VLOOKUP(O501,BulletType!A$1:G$35,7)</f>
        <v>4,0.998</v>
      </c>
      <c r="H501" s="2">
        <f t="shared" si="30"/>
        <v>1</v>
      </c>
      <c r="I501">
        <f>VLOOKUP(O501,BulletType!A$1:F$35,3)</f>
        <v>0</v>
      </c>
      <c r="J501">
        <f>VLOOKUP(O501,BulletType!A$1:F$35,4)</f>
        <v>3</v>
      </c>
      <c r="K501">
        <f>VLOOKUP(O501,BulletType!A$1:F$35,5)</f>
        <v>14</v>
      </c>
      <c r="L501">
        <f>VLOOKUP(O501,BulletType!A$1:F$35,5)</f>
        <v>14</v>
      </c>
      <c r="M501">
        <f>VLOOKUP(O501,BulletType!A$1:F$35,6)</f>
        <v>7</v>
      </c>
      <c r="N501" s="3" t="str">
        <f>VLOOKUP(P501,BulletColor!A$2:B524,2)</f>
        <v>0.625,0.3,0.3</v>
      </c>
      <c r="O501">
        <v>17</v>
      </c>
      <c r="P501" s="2">
        <v>1</v>
      </c>
      <c r="Q501" s="2">
        <f t="shared" si="33"/>
        <v>1</v>
      </c>
    </row>
    <row r="502" spans="1:17" x14ac:dyDescent="0.2">
      <c r="A502" s="1">
        <f t="shared" si="31"/>
        <v>117030</v>
      </c>
      <c r="B502" s="3" t="str">
        <f>VLOOKUP(O502,BulletType!A$1:F$35,2)&amp;VLOOKUP(P502,BulletColor!A$1:C$25,3)</f>
        <v>星弹（大）深紫</v>
      </c>
      <c r="C502" s="3" t="str">
        <f t="shared" si="32"/>
        <v>Bullet117030</v>
      </c>
      <c r="D502" s="2">
        <f>VLOOKUP(O502,BulletType!A$2:N550,9)</f>
        <v>0</v>
      </c>
      <c r="E502" s="2">
        <f>VLOOKUP(O502,BulletType!A$2:N550,10)</f>
        <v>0</v>
      </c>
      <c r="F502" s="3" t="str">
        <f>CONCATENATE(VLOOKUP(O502,BulletType!A$2:I$35,8),VLOOKUP(P502,BulletColor!A$2:D$16,4))</f>
        <v>Bullet200030</v>
      </c>
      <c r="G502" s="3" t="str">
        <f>VLOOKUP(O502,BulletType!A$1:G$35,7)</f>
        <v>4,0.998</v>
      </c>
      <c r="H502" s="2">
        <f t="shared" si="30"/>
        <v>0</v>
      </c>
      <c r="I502">
        <f>VLOOKUP(O502,BulletType!A$1:F$35,3)</f>
        <v>0</v>
      </c>
      <c r="J502">
        <f>VLOOKUP(O502,BulletType!A$1:F$35,4)</f>
        <v>3</v>
      </c>
      <c r="K502">
        <f>VLOOKUP(O502,BulletType!A$1:F$35,5)</f>
        <v>14</v>
      </c>
      <c r="L502">
        <f>VLOOKUP(O502,BulletType!A$1:F$35,5)</f>
        <v>14</v>
      </c>
      <c r="M502">
        <f>VLOOKUP(O502,BulletType!A$1:F$35,6)</f>
        <v>7</v>
      </c>
      <c r="N502" s="3" t="str">
        <f>VLOOKUP(P502,BulletColor!A$2:B525,2)</f>
        <v>1,0.65,1</v>
      </c>
      <c r="O502">
        <v>17</v>
      </c>
      <c r="P502" s="2">
        <v>3</v>
      </c>
      <c r="Q502" s="2">
        <f t="shared" si="33"/>
        <v>0</v>
      </c>
    </row>
    <row r="503" spans="1:17" x14ac:dyDescent="0.2">
      <c r="A503" s="1">
        <f t="shared" si="31"/>
        <v>117031</v>
      </c>
      <c r="B503" s="3" t="str">
        <f>VLOOKUP(O503,BulletType!A$1:F$35,2)&amp;VLOOKUP(P503,BulletColor!A$1:C$25,3)</f>
        <v>星弹（大）深紫</v>
      </c>
      <c r="C503" s="3" t="str">
        <f t="shared" si="32"/>
        <v>Bullet117030</v>
      </c>
      <c r="D503" s="2">
        <f>VLOOKUP(O503,BulletType!A$2:N551,9)</f>
        <v>0</v>
      </c>
      <c r="E503" s="2">
        <f>VLOOKUP(O503,BulletType!A$2:N551,10)</f>
        <v>0</v>
      </c>
      <c r="F503" s="3" t="str">
        <f>CONCATENATE(VLOOKUP(O503,BulletType!A$2:I$35,8),VLOOKUP(P503,BulletColor!A$2:D$16,4))</f>
        <v>Bullet200030</v>
      </c>
      <c r="G503" s="3" t="str">
        <f>VLOOKUP(O503,BulletType!A$1:G$35,7)</f>
        <v>4,0.998</v>
      </c>
      <c r="H503" s="2">
        <f t="shared" si="30"/>
        <v>1</v>
      </c>
      <c r="I503">
        <f>VLOOKUP(O503,BulletType!A$1:F$35,3)</f>
        <v>0</v>
      </c>
      <c r="J503">
        <f>VLOOKUP(O503,BulletType!A$1:F$35,4)</f>
        <v>3</v>
      </c>
      <c r="K503">
        <f>VLOOKUP(O503,BulletType!A$1:F$35,5)</f>
        <v>14</v>
      </c>
      <c r="L503">
        <f>VLOOKUP(O503,BulletType!A$1:F$35,5)</f>
        <v>14</v>
      </c>
      <c r="M503">
        <f>VLOOKUP(O503,BulletType!A$1:F$35,6)</f>
        <v>7</v>
      </c>
      <c r="N503" s="3" t="str">
        <f>VLOOKUP(P503,BulletColor!A$2:B526,2)</f>
        <v>1,0.65,1</v>
      </c>
      <c r="O503">
        <v>17</v>
      </c>
      <c r="P503" s="2">
        <v>3</v>
      </c>
      <c r="Q503" s="2">
        <f t="shared" si="33"/>
        <v>1</v>
      </c>
    </row>
    <row r="504" spans="1:17" x14ac:dyDescent="0.2">
      <c r="A504" s="1">
        <f t="shared" si="31"/>
        <v>117050</v>
      </c>
      <c r="B504" s="3" t="str">
        <f>VLOOKUP(O504,BulletType!A$1:F$35,2)&amp;VLOOKUP(P504,BulletColor!A$1:C$25,3)</f>
        <v>星弹（大）深蓝</v>
      </c>
      <c r="C504" s="3" t="str">
        <f t="shared" si="32"/>
        <v>Bullet117050</v>
      </c>
      <c r="D504" s="2">
        <f>VLOOKUP(O504,BulletType!A$2:N552,9)</f>
        <v>0</v>
      </c>
      <c r="E504" s="2">
        <f>VLOOKUP(O504,BulletType!A$2:N552,10)</f>
        <v>0</v>
      </c>
      <c r="F504" s="3" t="str">
        <f>CONCATENATE(VLOOKUP(O504,BulletType!A$2:I$35,8),VLOOKUP(P504,BulletColor!A$2:D$16,4))</f>
        <v>Bullet200050</v>
      </c>
      <c r="G504" s="3" t="str">
        <f>VLOOKUP(O504,BulletType!A$1:G$35,7)</f>
        <v>4,0.998</v>
      </c>
      <c r="H504" s="2">
        <f t="shared" si="30"/>
        <v>0</v>
      </c>
      <c r="I504">
        <f>VLOOKUP(O504,BulletType!A$1:F$35,3)</f>
        <v>0</v>
      </c>
      <c r="J504">
        <f>VLOOKUP(O504,BulletType!A$1:F$35,4)</f>
        <v>3</v>
      </c>
      <c r="K504">
        <f>VLOOKUP(O504,BulletType!A$1:F$35,5)</f>
        <v>14</v>
      </c>
      <c r="L504">
        <f>VLOOKUP(O504,BulletType!A$1:F$35,5)</f>
        <v>14</v>
      </c>
      <c r="M504">
        <f>VLOOKUP(O504,BulletType!A$1:F$35,6)</f>
        <v>7</v>
      </c>
      <c r="N504" s="3" t="str">
        <f>VLOOKUP(P504,BulletColor!A$2:B527,2)</f>
        <v>0,0.1,1</v>
      </c>
      <c r="O504">
        <v>17</v>
      </c>
      <c r="P504" s="2">
        <v>5</v>
      </c>
      <c r="Q504" s="2">
        <f t="shared" si="33"/>
        <v>0</v>
      </c>
    </row>
    <row r="505" spans="1:17" x14ac:dyDescent="0.2">
      <c r="A505" s="1">
        <f t="shared" si="31"/>
        <v>117051</v>
      </c>
      <c r="B505" s="3" t="str">
        <f>VLOOKUP(O505,BulletType!A$1:F$35,2)&amp;VLOOKUP(P505,BulletColor!A$1:C$25,3)</f>
        <v>星弹（大）深蓝</v>
      </c>
      <c r="C505" s="3" t="str">
        <f t="shared" si="32"/>
        <v>Bullet117050</v>
      </c>
      <c r="D505" s="2">
        <f>VLOOKUP(O505,BulletType!A$2:N553,9)</f>
        <v>0</v>
      </c>
      <c r="E505" s="2">
        <f>VLOOKUP(O505,BulletType!A$2:N553,10)</f>
        <v>0</v>
      </c>
      <c r="F505" s="3" t="str">
        <f>CONCATENATE(VLOOKUP(O505,BulletType!A$2:I$35,8),VLOOKUP(P505,BulletColor!A$2:D$16,4))</f>
        <v>Bullet200050</v>
      </c>
      <c r="G505" s="3" t="str">
        <f>VLOOKUP(O505,BulletType!A$1:G$35,7)</f>
        <v>4,0.998</v>
      </c>
      <c r="H505" s="2">
        <f t="shared" si="30"/>
        <v>1</v>
      </c>
      <c r="I505">
        <f>VLOOKUP(O505,BulletType!A$1:F$35,3)</f>
        <v>0</v>
      </c>
      <c r="J505">
        <f>VLOOKUP(O505,BulletType!A$1:F$35,4)</f>
        <v>3</v>
      </c>
      <c r="K505">
        <f>VLOOKUP(O505,BulletType!A$1:F$35,5)</f>
        <v>14</v>
      </c>
      <c r="L505">
        <f>VLOOKUP(O505,BulletType!A$1:F$35,5)</f>
        <v>14</v>
      </c>
      <c r="M505">
        <f>VLOOKUP(O505,BulletType!A$1:F$35,6)</f>
        <v>7</v>
      </c>
      <c r="N505" s="3" t="str">
        <f>VLOOKUP(P505,BulletColor!A$2:B528,2)</f>
        <v>0,0.1,1</v>
      </c>
      <c r="O505">
        <v>17</v>
      </c>
      <c r="P505" s="2">
        <v>5</v>
      </c>
      <c r="Q505" s="2">
        <f t="shared" si="33"/>
        <v>1</v>
      </c>
    </row>
    <row r="506" spans="1:17" x14ac:dyDescent="0.2">
      <c r="A506" s="1">
        <f t="shared" si="31"/>
        <v>117070</v>
      </c>
      <c r="B506" s="3" t="str">
        <f>VLOOKUP(O506,BulletType!A$1:F$35,2)&amp;VLOOKUP(P506,BulletColor!A$1:C$25,3)</f>
        <v>星弹（大）深青</v>
      </c>
      <c r="C506" s="3" t="str">
        <f t="shared" si="32"/>
        <v>Bullet117070</v>
      </c>
      <c r="D506" s="2">
        <f>VLOOKUP(O506,BulletType!A$2:N554,9)</f>
        <v>0</v>
      </c>
      <c r="E506" s="2">
        <f>VLOOKUP(O506,BulletType!A$2:N554,10)</f>
        <v>0</v>
      </c>
      <c r="F506" s="3" t="str">
        <f>CONCATENATE(VLOOKUP(O506,BulletType!A$2:I$35,8),VLOOKUP(P506,BulletColor!A$2:D$16,4))</f>
        <v>Bullet200070</v>
      </c>
      <c r="G506" s="3" t="str">
        <f>VLOOKUP(O506,BulletType!A$1:G$35,7)</f>
        <v>4,0.998</v>
      </c>
      <c r="H506" s="2">
        <f t="shared" si="30"/>
        <v>0</v>
      </c>
      <c r="I506">
        <f>VLOOKUP(O506,BulletType!A$1:F$35,3)</f>
        <v>0</v>
      </c>
      <c r="J506">
        <f>VLOOKUP(O506,BulletType!A$1:F$35,4)</f>
        <v>3</v>
      </c>
      <c r="K506">
        <f>VLOOKUP(O506,BulletType!A$1:F$35,5)</f>
        <v>14</v>
      </c>
      <c r="L506">
        <f>VLOOKUP(O506,BulletType!A$1:F$35,5)</f>
        <v>14</v>
      </c>
      <c r="M506">
        <f>VLOOKUP(O506,BulletType!A$1:F$35,6)</f>
        <v>7</v>
      </c>
      <c r="N506" s="3" t="str">
        <f>VLOOKUP(P506,BulletColor!A$2:B529,2)</f>
        <v>0.25,1,1</v>
      </c>
      <c r="O506">
        <v>17</v>
      </c>
      <c r="P506" s="2">
        <v>7</v>
      </c>
      <c r="Q506" s="2">
        <f t="shared" si="33"/>
        <v>0</v>
      </c>
    </row>
    <row r="507" spans="1:17" x14ac:dyDescent="0.2">
      <c r="A507" s="1">
        <f t="shared" si="31"/>
        <v>117071</v>
      </c>
      <c r="B507" s="3" t="str">
        <f>VLOOKUP(O507,BulletType!A$1:F$35,2)&amp;VLOOKUP(P507,BulletColor!A$1:C$25,3)</f>
        <v>星弹（大）深青</v>
      </c>
      <c r="C507" s="3" t="str">
        <f t="shared" si="32"/>
        <v>Bullet117070</v>
      </c>
      <c r="D507" s="2">
        <f>VLOOKUP(O507,BulletType!A$2:N555,9)</f>
        <v>0</v>
      </c>
      <c r="E507" s="2">
        <f>VLOOKUP(O507,BulletType!A$2:N555,10)</f>
        <v>0</v>
      </c>
      <c r="F507" s="3" t="str">
        <f>CONCATENATE(VLOOKUP(O507,BulletType!A$2:I$35,8),VLOOKUP(P507,BulletColor!A$2:D$16,4))</f>
        <v>Bullet200070</v>
      </c>
      <c r="G507" s="3" t="str">
        <f>VLOOKUP(O507,BulletType!A$1:G$35,7)</f>
        <v>4,0.998</v>
      </c>
      <c r="H507" s="2">
        <f t="shared" si="30"/>
        <v>1</v>
      </c>
      <c r="I507">
        <f>VLOOKUP(O507,BulletType!A$1:F$35,3)</f>
        <v>0</v>
      </c>
      <c r="J507">
        <f>VLOOKUP(O507,BulletType!A$1:F$35,4)</f>
        <v>3</v>
      </c>
      <c r="K507">
        <f>VLOOKUP(O507,BulletType!A$1:F$35,5)</f>
        <v>14</v>
      </c>
      <c r="L507">
        <f>VLOOKUP(O507,BulletType!A$1:F$35,5)</f>
        <v>14</v>
      </c>
      <c r="M507">
        <f>VLOOKUP(O507,BulletType!A$1:F$35,6)</f>
        <v>7</v>
      </c>
      <c r="N507" s="3" t="str">
        <f>VLOOKUP(P507,BulletColor!A$2:B530,2)</f>
        <v>0.25,1,1</v>
      </c>
      <c r="O507">
        <v>17</v>
      </c>
      <c r="P507" s="2">
        <v>7</v>
      </c>
      <c r="Q507" s="2">
        <f t="shared" si="33"/>
        <v>1</v>
      </c>
    </row>
    <row r="508" spans="1:17" x14ac:dyDescent="0.2">
      <c r="A508" s="1">
        <f t="shared" si="31"/>
        <v>117090</v>
      </c>
      <c r="B508" s="3" t="str">
        <f>VLOOKUP(O508,BulletType!A$1:F$35,2)&amp;VLOOKUP(P508,BulletColor!A$1:C$25,3)</f>
        <v>星弹（大）深绿</v>
      </c>
      <c r="C508" s="3" t="str">
        <f t="shared" si="32"/>
        <v>Bullet117090</v>
      </c>
      <c r="D508" s="2">
        <f>VLOOKUP(O508,BulletType!A$2:N556,9)</f>
        <v>0</v>
      </c>
      <c r="E508" s="2">
        <f>VLOOKUP(O508,BulletType!A$2:N556,10)</f>
        <v>0</v>
      </c>
      <c r="F508" s="3" t="str">
        <f>CONCATENATE(VLOOKUP(O508,BulletType!A$2:I$35,8),VLOOKUP(P508,BulletColor!A$2:D$16,4))</f>
        <v>Bullet200090</v>
      </c>
      <c r="G508" s="3" t="str">
        <f>VLOOKUP(O508,BulletType!A$1:G$35,7)</f>
        <v>4,0.998</v>
      </c>
      <c r="H508" s="2">
        <f t="shared" si="30"/>
        <v>0</v>
      </c>
      <c r="I508">
        <f>VLOOKUP(O508,BulletType!A$1:F$35,3)</f>
        <v>0</v>
      </c>
      <c r="J508">
        <f>VLOOKUP(O508,BulletType!A$1:F$35,4)</f>
        <v>3</v>
      </c>
      <c r="K508">
        <f>VLOOKUP(O508,BulletType!A$1:F$35,5)</f>
        <v>14</v>
      </c>
      <c r="L508">
        <f>VLOOKUP(O508,BulletType!A$1:F$35,5)</f>
        <v>14</v>
      </c>
      <c r="M508">
        <f>VLOOKUP(O508,BulletType!A$1:F$35,6)</f>
        <v>7</v>
      </c>
      <c r="N508" s="3" t="str">
        <f>VLOOKUP(P508,BulletColor!A$2:B531,2)</f>
        <v>0.36,0.78,1</v>
      </c>
      <c r="O508">
        <v>17</v>
      </c>
      <c r="P508" s="2">
        <v>9</v>
      </c>
      <c r="Q508" s="2">
        <f t="shared" si="33"/>
        <v>0</v>
      </c>
    </row>
    <row r="509" spans="1:17" x14ac:dyDescent="0.2">
      <c r="A509" s="1">
        <f t="shared" si="31"/>
        <v>117091</v>
      </c>
      <c r="B509" s="3" t="str">
        <f>VLOOKUP(O509,BulletType!A$1:F$35,2)&amp;VLOOKUP(P509,BulletColor!A$1:C$25,3)</f>
        <v>星弹（大）深绿</v>
      </c>
      <c r="C509" s="3" t="str">
        <f t="shared" si="32"/>
        <v>Bullet117090</v>
      </c>
      <c r="D509" s="2">
        <f>VLOOKUP(O509,BulletType!A$2:N557,9)</f>
        <v>0</v>
      </c>
      <c r="E509" s="2">
        <f>VLOOKUP(O509,BulletType!A$2:N557,10)</f>
        <v>0</v>
      </c>
      <c r="F509" s="3" t="str">
        <f>CONCATENATE(VLOOKUP(O509,BulletType!A$2:I$35,8),VLOOKUP(P509,BulletColor!A$2:D$16,4))</f>
        <v>Bullet200090</v>
      </c>
      <c r="G509" s="3" t="str">
        <f>VLOOKUP(O509,BulletType!A$1:G$35,7)</f>
        <v>4,0.998</v>
      </c>
      <c r="H509" s="2">
        <f t="shared" si="30"/>
        <v>1</v>
      </c>
      <c r="I509">
        <f>VLOOKUP(O509,BulletType!A$1:F$35,3)</f>
        <v>0</v>
      </c>
      <c r="J509">
        <f>VLOOKUP(O509,BulletType!A$1:F$35,4)</f>
        <v>3</v>
      </c>
      <c r="K509">
        <f>VLOOKUP(O509,BulletType!A$1:F$35,5)</f>
        <v>14</v>
      </c>
      <c r="L509">
        <f>VLOOKUP(O509,BulletType!A$1:F$35,5)</f>
        <v>14</v>
      </c>
      <c r="M509">
        <f>VLOOKUP(O509,BulletType!A$1:F$35,6)</f>
        <v>7</v>
      </c>
      <c r="N509" s="3" t="str">
        <f>VLOOKUP(P509,BulletColor!A$2:B532,2)</f>
        <v>0.36,0.78,1</v>
      </c>
      <c r="O509">
        <v>17</v>
      </c>
      <c r="P509" s="2">
        <v>9</v>
      </c>
      <c r="Q509" s="2">
        <f t="shared" si="33"/>
        <v>1</v>
      </c>
    </row>
    <row r="510" spans="1:17" x14ac:dyDescent="0.2">
      <c r="A510" s="1">
        <f t="shared" si="31"/>
        <v>117130</v>
      </c>
      <c r="B510" s="3" t="str">
        <f>VLOOKUP(O510,BulletType!A$1:F$35,2)&amp;VLOOKUP(P510,BulletColor!A$1:C$25,3)</f>
        <v>星弹（大）浅黄</v>
      </c>
      <c r="C510" s="3" t="str">
        <f t="shared" si="32"/>
        <v>Bullet117130</v>
      </c>
      <c r="D510" s="2">
        <f>VLOOKUP(O510,BulletType!A$2:N558,9)</f>
        <v>0</v>
      </c>
      <c r="E510" s="2">
        <f>VLOOKUP(O510,BulletType!A$2:N558,10)</f>
        <v>0</v>
      </c>
      <c r="F510" s="3" t="str">
        <f>CONCATENATE(VLOOKUP(O510,BulletType!A$2:I$35,8),VLOOKUP(P510,BulletColor!A$2:D$16,4))</f>
        <v>Bullet200130</v>
      </c>
      <c r="G510" s="3" t="str">
        <f>VLOOKUP(O510,BulletType!A$1:G$35,7)</f>
        <v>4,0.998</v>
      </c>
      <c r="H510" s="2">
        <f t="shared" si="30"/>
        <v>0</v>
      </c>
      <c r="I510">
        <f>VLOOKUP(O510,BulletType!A$1:F$35,3)</f>
        <v>0</v>
      </c>
      <c r="J510">
        <f>VLOOKUP(O510,BulletType!A$1:F$35,4)</f>
        <v>3</v>
      </c>
      <c r="K510">
        <f>VLOOKUP(O510,BulletType!A$1:F$35,5)</f>
        <v>14</v>
      </c>
      <c r="L510">
        <f>VLOOKUP(O510,BulletType!A$1:F$35,5)</f>
        <v>14</v>
      </c>
      <c r="M510">
        <f>VLOOKUP(O510,BulletType!A$1:F$35,6)</f>
        <v>7</v>
      </c>
      <c r="N510" s="3" t="str">
        <f>VLOOKUP(P510,BulletColor!A$2:B533,2)</f>
        <v>0.9,1,0.4</v>
      </c>
      <c r="O510">
        <v>17</v>
      </c>
      <c r="P510" s="2">
        <v>13</v>
      </c>
      <c r="Q510" s="2">
        <f t="shared" si="33"/>
        <v>0</v>
      </c>
    </row>
    <row r="511" spans="1:17" x14ac:dyDescent="0.2">
      <c r="A511" s="1">
        <f t="shared" si="31"/>
        <v>117131</v>
      </c>
      <c r="B511" s="3" t="str">
        <f>VLOOKUP(O511,BulletType!A$1:F$35,2)&amp;VLOOKUP(P511,BulletColor!A$1:C$25,3)</f>
        <v>星弹（大）浅黄</v>
      </c>
      <c r="C511" s="3" t="str">
        <f t="shared" si="32"/>
        <v>Bullet117130</v>
      </c>
      <c r="D511" s="2">
        <f>VLOOKUP(O511,BulletType!A$2:N559,9)</f>
        <v>0</v>
      </c>
      <c r="E511" s="2">
        <f>VLOOKUP(O511,BulletType!A$2:N559,10)</f>
        <v>0</v>
      </c>
      <c r="F511" s="3" t="str">
        <f>CONCATENATE(VLOOKUP(O511,BulletType!A$2:I$35,8),VLOOKUP(P511,BulletColor!A$2:D$16,4))</f>
        <v>Bullet200130</v>
      </c>
      <c r="G511" s="3" t="str">
        <f>VLOOKUP(O511,BulletType!A$1:G$35,7)</f>
        <v>4,0.998</v>
      </c>
      <c r="H511" s="2">
        <f t="shared" si="30"/>
        <v>1</v>
      </c>
      <c r="I511">
        <f>VLOOKUP(O511,BulletType!A$1:F$35,3)</f>
        <v>0</v>
      </c>
      <c r="J511">
        <f>VLOOKUP(O511,BulletType!A$1:F$35,4)</f>
        <v>3</v>
      </c>
      <c r="K511">
        <f>VLOOKUP(O511,BulletType!A$1:F$35,5)</f>
        <v>14</v>
      </c>
      <c r="L511">
        <f>VLOOKUP(O511,BulletType!A$1:F$35,5)</f>
        <v>14</v>
      </c>
      <c r="M511">
        <f>VLOOKUP(O511,BulletType!A$1:F$35,6)</f>
        <v>7</v>
      </c>
      <c r="N511" s="3" t="str">
        <f>VLOOKUP(P511,BulletColor!A$2:B534,2)</f>
        <v>0.9,1,0.4</v>
      </c>
      <c r="O511">
        <v>17</v>
      </c>
      <c r="P511" s="2">
        <v>13</v>
      </c>
      <c r="Q511" s="2">
        <f t="shared" si="33"/>
        <v>1</v>
      </c>
    </row>
    <row r="512" spans="1:17" x14ac:dyDescent="0.2">
      <c r="A512" s="1">
        <f t="shared" si="31"/>
        <v>117150</v>
      </c>
      <c r="B512" s="3" t="str">
        <f>VLOOKUP(O512,BulletType!A$1:F$35,2)&amp;VLOOKUP(P512,BulletColor!A$1:C$25,3)</f>
        <v>星弹（大）白</v>
      </c>
      <c r="C512" s="3" t="str">
        <f t="shared" si="32"/>
        <v>Bullet117150</v>
      </c>
      <c r="D512" s="2">
        <f>VLOOKUP(O512,BulletType!A$2:N560,9)</f>
        <v>0</v>
      </c>
      <c r="E512" s="2">
        <f>VLOOKUP(O512,BulletType!A$2:N560,10)</f>
        <v>0</v>
      </c>
      <c r="F512" s="3" t="str">
        <f>CONCATENATE(VLOOKUP(O512,BulletType!A$2:I$35,8),VLOOKUP(P512,BulletColor!A$2:D$16,4))</f>
        <v>Bullet200130</v>
      </c>
      <c r="G512" s="3" t="str">
        <f>VLOOKUP(O512,BulletType!A$1:G$35,7)</f>
        <v>4,0.998</v>
      </c>
      <c r="H512" s="2">
        <f t="shared" si="30"/>
        <v>0</v>
      </c>
      <c r="I512">
        <f>VLOOKUP(O512,BulletType!A$1:F$35,3)</f>
        <v>0</v>
      </c>
      <c r="J512">
        <f>VLOOKUP(O512,BulletType!A$1:F$35,4)</f>
        <v>3</v>
      </c>
      <c r="K512">
        <f>VLOOKUP(O512,BulletType!A$1:F$35,5)</f>
        <v>14</v>
      </c>
      <c r="L512">
        <f>VLOOKUP(O512,BulletType!A$1:F$35,5)</f>
        <v>14</v>
      </c>
      <c r="M512">
        <f>VLOOKUP(O512,BulletType!A$1:F$35,6)</f>
        <v>7</v>
      </c>
      <c r="N512" s="3" t="str">
        <f>VLOOKUP(P512,BulletColor!A$2:B535,2)</f>
        <v>0.8,0.8,0.8</v>
      </c>
      <c r="O512">
        <v>17</v>
      </c>
      <c r="P512" s="2">
        <v>15</v>
      </c>
      <c r="Q512" s="2">
        <f t="shared" si="33"/>
        <v>0</v>
      </c>
    </row>
    <row r="513" spans="1:17" x14ac:dyDescent="0.2">
      <c r="A513" s="1">
        <f t="shared" si="31"/>
        <v>117151</v>
      </c>
      <c r="B513" s="3" t="str">
        <f>VLOOKUP(O513,BulletType!A$1:F$35,2)&amp;VLOOKUP(P513,BulletColor!A$1:C$25,3)</f>
        <v>星弹（大）白</v>
      </c>
      <c r="C513" s="3" t="str">
        <f t="shared" si="32"/>
        <v>Bullet117150</v>
      </c>
      <c r="D513" s="2">
        <f>VLOOKUP(O513,BulletType!A$2:N561,9)</f>
        <v>0</v>
      </c>
      <c r="E513" s="2">
        <f>VLOOKUP(O513,BulletType!A$2:N561,10)</f>
        <v>0</v>
      </c>
      <c r="F513" s="3" t="str">
        <f>CONCATENATE(VLOOKUP(O513,BulletType!A$2:I$35,8),VLOOKUP(P513,BulletColor!A$2:D$16,4))</f>
        <v>Bullet200130</v>
      </c>
      <c r="G513" s="3" t="str">
        <f>VLOOKUP(O513,BulletType!A$1:G$35,7)</f>
        <v>4,0.998</v>
      </c>
      <c r="H513" s="2">
        <f t="shared" si="30"/>
        <v>1</v>
      </c>
      <c r="I513">
        <f>VLOOKUP(O513,BulletType!A$1:F$35,3)</f>
        <v>0</v>
      </c>
      <c r="J513">
        <f>VLOOKUP(O513,BulletType!A$1:F$35,4)</f>
        <v>3</v>
      </c>
      <c r="K513">
        <f>VLOOKUP(O513,BulletType!A$1:F$35,5)</f>
        <v>14</v>
      </c>
      <c r="L513">
        <f>VLOOKUP(O513,BulletType!A$1:F$35,5)</f>
        <v>14</v>
      </c>
      <c r="M513">
        <f>VLOOKUP(O513,BulletType!A$1:F$35,6)</f>
        <v>7</v>
      </c>
      <c r="N513" s="3" t="str">
        <f>VLOOKUP(P513,BulletColor!A$2:B536,2)</f>
        <v>0.8,0.8,0.8</v>
      </c>
      <c r="O513">
        <v>17</v>
      </c>
      <c r="P513" s="2">
        <v>15</v>
      </c>
      <c r="Q513" s="2">
        <f t="shared" si="33"/>
        <v>1</v>
      </c>
    </row>
    <row r="514" spans="1:17" x14ac:dyDescent="0.2">
      <c r="A514" s="1">
        <f t="shared" si="31"/>
        <v>118010</v>
      </c>
      <c r="B514" s="3" t="str">
        <f>VLOOKUP(O514,BulletType!A$1:F$35,2)&amp;VLOOKUP(P514,BulletColor!A$1:C$25,3)</f>
        <v>大玉深红</v>
      </c>
      <c r="C514" s="3" t="str">
        <f t="shared" si="32"/>
        <v>Bullet118010</v>
      </c>
      <c r="D514" s="2">
        <f>VLOOKUP(O514,BulletType!A$2:N562,9)</f>
        <v>0</v>
      </c>
      <c r="E514" s="2">
        <f>VLOOKUP(O514,BulletType!A$2:N562,10)</f>
        <v>0</v>
      </c>
      <c r="F514" s="3" t="str">
        <f>CONCATENATE(VLOOKUP(O514,BulletType!A$2:I$35,8),VLOOKUP(P514,BulletColor!A$2:D$16,4))</f>
        <v>Bullet200010</v>
      </c>
      <c r="G514" s="3" t="str">
        <f>VLOOKUP(O514,BulletType!A$1:G$35,7)</f>
        <v>8,2</v>
      </c>
      <c r="H514" s="2">
        <f t="shared" ref="H514:H577" si="34">INT(Q514)</f>
        <v>0</v>
      </c>
      <c r="I514">
        <f>VLOOKUP(O514,BulletType!A$1:F$35,3)</f>
        <v>0</v>
      </c>
      <c r="J514">
        <f>VLOOKUP(O514,BulletType!A$1:F$35,4)</f>
        <v>0</v>
      </c>
      <c r="K514">
        <f>VLOOKUP(O514,BulletType!A$1:F$35,5)</f>
        <v>28</v>
      </c>
      <c r="L514">
        <f>VLOOKUP(O514,BulletType!A$1:F$35,5)</f>
        <v>28</v>
      </c>
      <c r="M514">
        <f>VLOOKUP(O514,BulletType!A$1:F$35,6)</f>
        <v>14</v>
      </c>
      <c r="N514" s="3" t="str">
        <f>VLOOKUP(P514,BulletColor!A$2:B537,2)</f>
        <v>0.625,0.3,0.3</v>
      </c>
      <c r="O514">
        <v>18</v>
      </c>
      <c r="P514" s="2">
        <v>1</v>
      </c>
      <c r="Q514" s="2">
        <f t="shared" si="33"/>
        <v>0</v>
      </c>
    </row>
    <row r="515" spans="1:17" x14ac:dyDescent="0.2">
      <c r="A515" s="1">
        <f t="shared" ref="A515:A578" si="35">VALUE(CONCATENATE(1,(REPT(0,2-LEN(O515))&amp;O515),REPT(0,2-LEN(P515))&amp;(P515),Q515))</f>
        <v>118011</v>
      </c>
      <c r="B515" s="3" t="str">
        <f>VLOOKUP(O515,BulletType!A$1:F$35,2)&amp;VLOOKUP(P515,BulletColor!A$1:C$25,3)</f>
        <v>大玉深红</v>
      </c>
      <c r="C515" s="3" t="str">
        <f t="shared" ref="C515:C578" si="36">CONCATENATE("Bullet",INT(A515/10)*10)</f>
        <v>Bullet118010</v>
      </c>
      <c r="D515" s="2">
        <f>VLOOKUP(O515,BulletType!A$2:N563,9)</f>
        <v>0</v>
      </c>
      <c r="E515" s="2">
        <f>VLOOKUP(O515,BulletType!A$2:N563,10)</f>
        <v>0</v>
      </c>
      <c r="F515" s="3" t="str">
        <f>CONCATENATE(VLOOKUP(O515,BulletType!A$2:I$35,8),VLOOKUP(P515,BulletColor!A$2:D$16,4))</f>
        <v>Bullet200010</v>
      </c>
      <c r="G515" s="3" t="str">
        <f>VLOOKUP(O515,BulletType!A$1:G$35,7)</f>
        <v>8,2</v>
      </c>
      <c r="H515" s="2">
        <f t="shared" si="34"/>
        <v>1</v>
      </c>
      <c r="I515">
        <f>VLOOKUP(O515,BulletType!A$1:F$35,3)</f>
        <v>0</v>
      </c>
      <c r="J515">
        <f>VLOOKUP(O515,BulletType!A$1:F$35,4)</f>
        <v>0</v>
      </c>
      <c r="K515">
        <f>VLOOKUP(O515,BulletType!A$1:F$35,5)</f>
        <v>28</v>
      </c>
      <c r="L515">
        <f>VLOOKUP(O515,BulletType!A$1:F$35,5)</f>
        <v>28</v>
      </c>
      <c r="M515">
        <f>VLOOKUP(O515,BulletType!A$1:F$35,6)</f>
        <v>14</v>
      </c>
      <c r="N515" s="3" t="str">
        <f>VLOOKUP(P515,BulletColor!A$2:B538,2)</f>
        <v>0.625,0.3,0.3</v>
      </c>
      <c r="O515">
        <v>18</v>
      </c>
      <c r="P515" s="2">
        <v>1</v>
      </c>
      <c r="Q515" s="2">
        <f t="shared" si="33"/>
        <v>1</v>
      </c>
    </row>
    <row r="516" spans="1:17" x14ac:dyDescent="0.2">
      <c r="A516" s="1">
        <f t="shared" si="35"/>
        <v>118050</v>
      </c>
      <c r="B516" s="3" t="str">
        <f>VLOOKUP(O516,BulletType!A$1:F$35,2)&amp;VLOOKUP(P516,BulletColor!A$1:C$25,3)</f>
        <v>大玉深蓝</v>
      </c>
      <c r="C516" s="3" t="str">
        <f t="shared" si="36"/>
        <v>Bullet118050</v>
      </c>
      <c r="D516" s="2">
        <f>VLOOKUP(O516,BulletType!A$2:N564,9)</f>
        <v>0</v>
      </c>
      <c r="E516" s="2">
        <f>VLOOKUP(O516,BulletType!A$2:N564,10)</f>
        <v>0</v>
      </c>
      <c r="F516" s="3" t="str">
        <f>CONCATENATE(VLOOKUP(O516,BulletType!A$2:I$35,8),VLOOKUP(P516,BulletColor!A$2:D$16,4))</f>
        <v>Bullet200050</v>
      </c>
      <c r="G516" s="3" t="str">
        <f>VLOOKUP(O516,BulletType!A$1:G$35,7)</f>
        <v>8,2</v>
      </c>
      <c r="H516" s="2">
        <f t="shared" si="34"/>
        <v>0</v>
      </c>
      <c r="I516">
        <f>VLOOKUP(O516,BulletType!A$1:F$35,3)</f>
        <v>0</v>
      </c>
      <c r="J516">
        <f>VLOOKUP(O516,BulletType!A$1:F$35,4)</f>
        <v>0</v>
      </c>
      <c r="K516">
        <f>VLOOKUP(O516,BulletType!A$1:F$35,5)</f>
        <v>28</v>
      </c>
      <c r="L516">
        <f>VLOOKUP(O516,BulletType!A$1:F$35,5)</f>
        <v>28</v>
      </c>
      <c r="M516">
        <f>VLOOKUP(O516,BulletType!A$1:F$35,6)</f>
        <v>14</v>
      </c>
      <c r="N516" s="3" t="str">
        <f>VLOOKUP(P516,BulletColor!A$2:B539,2)</f>
        <v>0,0.1,1</v>
      </c>
      <c r="O516">
        <v>18</v>
      </c>
      <c r="P516" s="2">
        <v>5</v>
      </c>
      <c r="Q516" s="2">
        <f t="shared" si="33"/>
        <v>0</v>
      </c>
    </row>
    <row r="517" spans="1:17" x14ac:dyDescent="0.2">
      <c r="A517" s="1">
        <f t="shared" si="35"/>
        <v>118051</v>
      </c>
      <c r="B517" s="3" t="str">
        <f>VLOOKUP(O517,BulletType!A$1:F$35,2)&amp;VLOOKUP(P517,BulletColor!A$1:C$25,3)</f>
        <v>大玉深蓝</v>
      </c>
      <c r="C517" s="3" t="str">
        <f t="shared" si="36"/>
        <v>Bullet118050</v>
      </c>
      <c r="D517" s="2">
        <f>VLOOKUP(O517,BulletType!A$2:N565,9)</f>
        <v>0</v>
      </c>
      <c r="E517" s="2">
        <f>VLOOKUP(O517,BulletType!A$2:N565,10)</f>
        <v>0</v>
      </c>
      <c r="F517" s="3" t="str">
        <f>CONCATENATE(VLOOKUP(O517,BulletType!A$2:I$35,8),VLOOKUP(P517,BulletColor!A$2:D$16,4))</f>
        <v>Bullet200050</v>
      </c>
      <c r="G517" s="3" t="str">
        <f>VLOOKUP(O517,BulletType!A$1:G$35,7)</f>
        <v>8,2</v>
      </c>
      <c r="H517" s="2">
        <f t="shared" si="34"/>
        <v>1</v>
      </c>
      <c r="I517">
        <f>VLOOKUP(O517,BulletType!A$1:F$35,3)</f>
        <v>0</v>
      </c>
      <c r="J517">
        <f>VLOOKUP(O517,BulletType!A$1:F$35,4)</f>
        <v>0</v>
      </c>
      <c r="K517">
        <f>VLOOKUP(O517,BulletType!A$1:F$35,5)</f>
        <v>28</v>
      </c>
      <c r="L517">
        <f>VLOOKUP(O517,BulletType!A$1:F$35,5)</f>
        <v>28</v>
      </c>
      <c r="M517">
        <f>VLOOKUP(O517,BulletType!A$1:F$35,6)</f>
        <v>14</v>
      </c>
      <c r="N517" s="3" t="str">
        <f>VLOOKUP(P517,BulletColor!A$2:B540,2)</f>
        <v>0,0.1,1</v>
      </c>
      <c r="O517">
        <v>18</v>
      </c>
      <c r="P517" s="2">
        <v>5</v>
      </c>
      <c r="Q517" s="2">
        <f t="shared" si="33"/>
        <v>1</v>
      </c>
    </row>
    <row r="518" spans="1:17" x14ac:dyDescent="0.2">
      <c r="A518" s="1">
        <f t="shared" si="35"/>
        <v>118090</v>
      </c>
      <c r="B518" s="3" t="str">
        <f>VLOOKUP(O518,BulletType!A$1:F$35,2)&amp;VLOOKUP(P518,BulletColor!A$1:C$25,3)</f>
        <v>大玉深绿</v>
      </c>
      <c r="C518" s="3" t="str">
        <f t="shared" si="36"/>
        <v>Bullet118090</v>
      </c>
      <c r="D518" s="2">
        <f>VLOOKUP(O518,BulletType!A$2:N566,9)</f>
        <v>0</v>
      </c>
      <c r="E518" s="2">
        <f>VLOOKUP(O518,BulletType!A$2:N566,10)</f>
        <v>0</v>
      </c>
      <c r="F518" s="3" t="str">
        <f>CONCATENATE(VLOOKUP(O518,BulletType!A$2:I$35,8),VLOOKUP(P518,BulletColor!A$2:D$16,4))</f>
        <v>Bullet200090</v>
      </c>
      <c r="G518" s="3" t="str">
        <f>VLOOKUP(O518,BulletType!A$1:G$35,7)</f>
        <v>8,2</v>
      </c>
      <c r="H518" s="2">
        <f t="shared" si="34"/>
        <v>0</v>
      </c>
      <c r="I518">
        <f>VLOOKUP(O518,BulletType!A$1:F$35,3)</f>
        <v>0</v>
      </c>
      <c r="J518">
        <f>VLOOKUP(O518,BulletType!A$1:F$35,4)</f>
        <v>0</v>
      </c>
      <c r="K518">
        <f>VLOOKUP(O518,BulletType!A$1:F$35,5)</f>
        <v>28</v>
      </c>
      <c r="L518">
        <f>VLOOKUP(O518,BulletType!A$1:F$35,5)</f>
        <v>28</v>
      </c>
      <c r="M518">
        <f>VLOOKUP(O518,BulletType!A$1:F$35,6)</f>
        <v>14</v>
      </c>
      <c r="N518" s="3" t="str">
        <f>VLOOKUP(P518,BulletColor!A$2:B541,2)</f>
        <v>0.36,0.78,1</v>
      </c>
      <c r="O518">
        <v>18</v>
      </c>
      <c r="P518" s="2">
        <v>9</v>
      </c>
      <c r="Q518" s="2">
        <f t="shared" si="33"/>
        <v>0</v>
      </c>
    </row>
    <row r="519" spans="1:17" x14ac:dyDescent="0.2">
      <c r="A519" s="1">
        <f t="shared" si="35"/>
        <v>118091</v>
      </c>
      <c r="B519" s="3" t="str">
        <f>VLOOKUP(O519,BulletType!A$1:F$35,2)&amp;VLOOKUP(P519,BulletColor!A$1:C$25,3)</f>
        <v>大玉深绿</v>
      </c>
      <c r="C519" s="3" t="str">
        <f t="shared" si="36"/>
        <v>Bullet118090</v>
      </c>
      <c r="D519" s="2">
        <f>VLOOKUP(O519,BulletType!A$2:N567,9)</f>
        <v>0</v>
      </c>
      <c r="E519" s="2">
        <f>VLOOKUP(O519,BulletType!A$2:N567,10)</f>
        <v>0</v>
      </c>
      <c r="F519" s="3" t="str">
        <f>CONCATENATE(VLOOKUP(O519,BulletType!A$2:I$35,8),VLOOKUP(P519,BulletColor!A$2:D$16,4))</f>
        <v>Bullet200090</v>
      </c>
      <c r="G519" s="3" t="str">
        <f>VLOOKUP(O519,BulletType!A$1:G$35,7)</f>
        <v>8,2</v>
      </c>
      <c r="H519" s="2">
        <f t="shared" si="34"/>
        <v>1</v>
      </c>
      <c r="I519">
        <f>VLOOKUP(O519,BulletType!A$1:F$35,3)</f>
        <v>0</v>
      </c>
      <c r="J519">
        <f>VLOOKUP(O519,BulletType!A$1:F$35,4)</f>
        <v>0</v>
      </c>
      <c r="K519">
        <f>VLOOKUP(O519,BulletType!A$1:F$35,5)</f>
        <v>28</v>
      </c>
      <c r="L519">
        <f>VLOOKUP(O519,BulletType!A$1:F$35,5)</f>
        <v>28</v>
      </c>
      <c r="M519">
        <f>VLOOKUP(O519,BulletType!A$1:F$35,6)</f>
        <v>14</v>
      </c>
      <c r="N519" s="3" t="str">
        <f>VLOOKUP(P519,BulletColor!A$2:B542,2)</f>
        <v>0.36,0.78,1</v>
      </c>
      <c r="O519">
        <v>18</v>
      </c>
      <c r="P519" s="2">
        <v>9</v>
      </c>
      <c r="Q519" s="2">
        <f t="shared" si="33"/>
        <v>1</v>
      </c>
    </row>
    <row r="520" spans="1:17" x14ac:dyDescent="0.2">
      <c r="A520" s="1">
        <f t="shared" si="35"/>
        <v>118130</v>
      </c>
      <c r="B520" s="3" t="str">
        <f>VLOOKUP(O520,BulletType!A$1:F$35,2)&amp;VLOOKUP(P520,BulletColor!A$1:C$25,3)</f>
        <v>大玉浅黄</v>
      </c>
      <c r="C520" s="3" t="str">
        <f t="shared" si="36"/>
        <v>Bullet118130</v>
      </c>
      <c r="D520" s="2">
        <f>VLOOKUP(O520,BulletType!A$2:N568,9)</f>
        <v>0</v>
      </c>
      <c r="E520" s="2">
        <f>VLOOKUP(O520,BulletType!A$2:N568,10)</f>
        <v>0</v>
      </c>
      <c r="F520" s="3" t="str">
        <f>CONCATENATE(VLOOKUP(O520,BulletType!A$2:I$35,8),VLOOKUP(P520,BulletColor!A$2:D$16,4))</f>
        <v>Bullet200130</v>
      </c>
      <c r="G520" s="3" t="str">
        <f>VLOOKUP(O520,BulletType!A$1:G$35,7)</f>
        <v>8,2</v>
      </c>
      <c r="H520" s="2">
        <f t="shared" si="34"/>
        <v>0</v>
      </c>
      <c r="I520">
        <f>VLOOKUP(O520,BulletType!A$1:F$35,3)</f>
        <v>0</v>
      </c>
      <c r="J520">
        <f>VLOOKUP(O520,BulletType!A$1:F$35,4)</f>
        <v>0</v>
      </c>
      <c r="K520">
        <f>VLOOKUP(O520,BulletType!A$1:F$35,5)</f>
        <v>28</v>
      </c>
      <c r="L520">
        <f>VLOOKUP(O520,BulletType!A$1:F$35,5)</f>
        <v>28</v>
      </c>
      <c r="M520">
        <f>VLOOKUP(O520,BulletType!A$1:F$35,6)</f>
        <v>14</v>
      </c>
      <c r="N520" s="3" t="str">
        <f>VLOOKUP(P520,BulletColor!A$2:B543,2)</f>
        <v>0.9,1,0.4</v>
      </c>
      <c r="O520">
        <v>18</v>
      </c>
      <c r="P520" s="2">
        <v>13</v>
      </c>
      <c r="Q520" s="2">
        <f t="shared" si="33"/>
        <v>0</v>
      </c>
    </row>
    <row r="521" spans="1:17" x14ac:dyDescent="0.2">
      <c r="A521" s="1">
        <f t="shared" si="35"/>
        <v>118131</v>
      </c>
      <c r="B521" s="3" t="str">
        <f>VLOOKUP(O521,BulletType!A$1:F$35,2)&amp;VLOOKUP(P521,BulletColor!A$1:C$25,3)</f>
        <v>大玉浅黄</v>
      </c>
      <c r="C521" s="3" t="str">
        <f t="shared" si="36"/>
        <v>Bullet118130</v>
      </c>
      <c r="D521" s="2">
        <f>VLOOKUP(O521,BulletType!A$2:N569,9)</f>
        <v>0</v>
      </c>
      <c r="E521" s="2">
        <f>VLOOKUP(O521,BulletType!A$2:N569,10)</f>
        <v>0</v>
      </c>
      <c r="F521" s="3" t="str">
        <f>CONCATENATE(VLOOKUP(O521,BulletType!A$2:I$35,8),VLOOKUP(P521,BulletColor!A$2:D$16,4))</f>
        <v>Bullet200130</v>
      </c>
      <c r="G521" s="3" t="str">
        <f>VLOOKUP(O521,BulletType!A$1:G$35,7)</f>
        <v>8,2</v>
      </c>
      <c r="H521" s="2">
        <f t="shared" si="34"/>
        <v>1</v>
      </c>
      <c r="I521">
        <f>VLOOKUP(O521,BulletType!A$1:F$35,3)</f>
        <v>0</v>
      </c>
      <c r="J521">
        <f>VLOOKUP(O521,BulletType!A$1:F$35,4)</f>
        <v>0</v>
      </c>
      <c r="K521">
        <f>VLOOKUP(O521,BulletType!A$1:F$35,5)</f>
        <v>28</v>
      </c>
      <c r="L521">
        <f>VLOOKUP(O521,BulletType!A$1:F$35,5)</f>
        <v>28</v>
      </c>
      <c r="M521">
        <f>VLOOKUP(O521,BulletType!A$1:F$35,6)</f>
        <v>14</v>
      </c>
      <c r="N521" s="3" t="str">
        <f>VLOOKUP(P521,BulletColor!A$2:B544,2)</f>
        <v>0.9,1,0.4</v>
      </c>
      <c r="O521">
        <v>18</v>
      </c>
      <c r="P521" s="2">
        <v>13</v>
      </c>
      <c r="Q521" s="2">
        <f t="shared" si="33"/>
        <v>1</v>
      </c>
    </row>
    <row r="522" spans="1:17" x14ac:dyDescent="0.2">
      <c r="A522" s="1">
        <f t="shared" si="35"/>
        <v>119010</v>
      </c>
      <c r="B522" s="3" t="str">
        <f>VLOOKUP(O522,BulletType!A$1:F$35,2)&amp;VLOOKUP(P522,BulletColor!A$1:C$25,3)</f>
        <v>蔷薇 深红</v>
      </c>
      <c r="C522" s="3" t="str">
        <f t="shared" si="36"/>
        <v>Bullet119010</v>
      </c>
      <c r="D522" s="2">
        <f>VLOOKUP(O522,BulletType!A$2:N570,9)</f>
        <v>0</v>
      </c>
      <c r="E522" s="2">
        <f>VLOOKUP(O522,BulletType!A$2:N570,10)</f>
        <v>0</v>
      </c>
      <c r="F522" s="3" t="str">
        <f>CONCATENATE(VLOOKUP(O522,BulletType!A$2:I$35,8),VLOOKUP(P522,BulletColor!A$2:D$16,4))</f>
        <v>Bullet200010</v>
      </c>
      <c r="G522" s="3" t="str">
        <f>VLOOKUP(O522,BulletType!A$1:G$35,7)</f>
        <v>0,0</v>
      </c>
      <c r="H522" s="2">
        <f t="shared" si="34"/>
        <v>0</v>
      </c>
      <c r="I522">
        <f>VLOOKUP(O522,BulletType!A$1:F$35,3)</f>
        <v>0</v>
      </c>
      <c r="J522">
        <f>VLOOKUP(O522,BulletType!A$1:F$35,4)</f>
        <v>0</v>
      </c>
      <c r="K522">
        <f>VLOOKUP(O522,BulletType!A$1:F$35,5)</f>
        <v>28</v>
      </c>
      <c r="L522">
        <f>VLOOKUP(O522,BulletType!A$1:F$35,5)</f>
        <v>28</v>
      </c>
      <c r="M522">
        <f>VLOOKUP(O522,BulletType!A$1:F$35,6)</f>
        <v>14</v>
      </c>
      <c r="N522" s="3" t="str">
        <f>VLOOKUP(P522,BulletColor!A$2:B545,2)</f>
        <v>0.625,0.3,0.3</v>
      </c>
      <c r="O522">
        <v>19</v>
      </c>
      <c r="P522" s="2">
        <v>1</v>
      </c>
      <c r="Q522" s="2">
        <f t="shared" si="33"/>
        <v>0</v>
      </c>
    </row>
    <row r="523" spans="1:17" x14ac:dyDescent="0.2">
      <c r="A523" s="1">
        <f t="shared" si="35"/>
        <v>119011</v>
      </c>
      <c r="B523" s="3" t="str">
        <f>VLOOKUP(O523,BulletType!A$1:F$35,2)&amp;VLOOKUP(P523,BulletColor!A$1:C$25,3)</f>
        <v>蔷薇 深红</v>
      </c>
      <c r="C523" s="3" t="str">
        <f t="shared" si="36"/>
        <v>Bullet119010</v>
      </c>
      <c r="D523" s="2">
        <f>VLOOKUP(O523,BulletType!A$2:N571,9)</f>
        <v>0</v>
      </c>
      <c r="E523" s="2">
        <f>VLOOKUP(O523,BulletType!A$2:N571,10)</f>
        <v>0</v>
      </c>
      <c r="F523" s="3" t="str">
        <f>CONCATENATE(VLOOKUP(O523,BulletType!A$2:I$35,8),VLOOKUP(P523,BulletColor!A$2:D$16,4))</f>
        <v>Bullet200010</v>
      </c>
      <c r="G523" s="3" t="str">
        <f>VLOOKUP(O523,BulletType!A$1:G$35,7)</f>
        <v>0,0</v>
      </c>
      <c r="H523" s="2">
        <f t="shared" si="34"/>
        <v>1</v>
      </c>
      <c r="I523">
        <f>VLOOKUP(O523,BulletType!A$1:F$35,3)</f>
        <v>0</v>
      </c>
      <c r="J523">
        <f>VLOOKUP(O523,BulletType!A$1:F$35,4)</f>
        <v>0</v>
      </c>
      <c r="K523">
        <f>VLOOKUP(O523,BulletType!A$1:F$35,5)</f>
        <v>28</v>
      </c>
      <c r="L523">
        <f>VLOOKUP(O523,BulletType!A$1:F$35,5)</f>
        <v>28</v>
      </c>
      <c r="M523">
        <f>VLOOKUP(O523,BulletType!A$1:F$35,6)</f>
        <v>14</v>
      </c>
      <c r="N523" s="3" t="str">
        <f>VLOOKUP(P523,BulletColor!A$2:B546,2)</f>
        <v>0.625,0.3,0.3</v>
      </c>
      <c r="O523">
        <v>19</v>
      </c>
      <c r="P523" s="2">
        <v>1</v>
      </c>
      <c r="Q523" s="2">
        <f t="shared" si="33"/>
        <v>1</v>
      </c>
    </row>
    <row r="524" spans="1:17" x14ac:dyDescent="0.2">
      <c r="A524" s="1">
        <f t="shared" si="35"/>
        <v>119050</v>
      </c>
      <c r="B524" s="3" t="str">
        <f>VLOOKUP(O524,BulletType!A$1:F$35,2)&amp;VLOOKUP(P524,BulletColor!A$1:C$25,3)</f>
        <v>蔷薇 深蓝</v>
      </c>
      <c r="C524" s="3" t="str">
        <f t="shared" si="36"/>
        <v>Bullet119050</v>
      </c>
      <c r="D524" s="2">
        <f>VLOOKUP(O524,BulletType!A$2:N572,9)</f>
        <v>0</v>
      </c>
      <c r="E524" s="2">
        <f>VLOOKUP(O524,BulletType!A$2:N572,10)</f>
        <v>0</v>
      </c>
      <c r="F524" s="3" t="str">
        <f>CONCATENATE(VLOOKUP(O524,BulletType!A$2:I$35,8),VLOOKUP(P524,BulletColor!A$2:D$16,4))</f>
        <v>Bullet200050</v>
      </c>
      <c r="G524" s="3" t="str">
        <f>VLOOKUP(O524,BulletType!A$1:G$35,7)</f>
        <v>0,0</v>
      </c>
      <c r="H524" s="2">
        <f t="shared" si="34"/>
        <v>0</v>
      </c>
      <c r="I524">
        <f>VLOOKUP(O524,BulletType!A$1:F$35,3)</f>
        <v>0</v>
      </c>
      <c r="J524">
        <f>VLOOKUP(O524,BulletType!A$1:F$35,4)</f>
        <v>0</v>
      </c>
      <c r="K524">
        <f>VLOOKUP(O524,BulletType!A$1:F$35,5)</f>
        <v>28</v>
      </c>
      <c r="L524">
        <f>VLOOKUP(O524,BulletType!A$1:F$35,5)</f>
        <v>28</v>
      </c>
      <c r="M524">
        <f>VLOOKUP(O524,BulletType!A$1:F$35,6)</f>
        <v>14</v>
      </c>
      <c r="N524" s="3" t="str">
        <f>VLOOKUP(P524,BulletColor!A$2:B547,2)</f>
        <v>0,0.1,1</v>
      </c>
      <c r="O524">
        <v>19</v>
      </c>
      <c r="P524" s="2">
        <v>5</v>
      </c>
      <c r="Q524" s="2">
        <f t="shared" si="33"/>
        <v>0</v>
      </c>
    </row>
    <row r="525" spans="1:17" x14ac:dyDescent="0.2">
      <c r="A525" s="1">
        <f t="shared" si="35"/>
        <v>119051</v>
      </c>
      <c r="B525" s="3" t="str">
        <f>VLOOKUP(O525,BulletType!A$1:F$35,2)&amp;VLOOKUP(P525,BulletColor!A$1:C$25,3)</f>
        <v>蔷薇 深蓝</v>
      </c>
      <c r="C525" s="3" t="str">
        <f t="shared" si="36"/>
        <v>Bullet119050</v>
      </c>
      <c r="D525" s="2">
        <f>VLOOKUP(O525,BulletType!A$2:N573,9)</f>
        <v>0</v>
      </c>
      <c r="E525" s="2">
        <f>VLOOKUP(O525,BulletType!A$2:N573,10)</f>
        <v>0</v>
      </c>
      <c r="F525" s="3" t="str">
        <f>CONCATENATE(VLOOKUP(O525,BulletType!A$2:I$35,8),VLOOKUP(P525,BulletColor!A$2:D$16,4))</f>
        <v>Bullet200050</v>
      </c>
      <c r="G525" s="3" t="str">
        <f>VLOOKUP(O525,BulletType!A$1:G$35,7)</f>
        <v>0,0</v>
      </c>
      <c r="H525" s="2">
        <f t="shared" si="34"/>
        <v>1</v>
      </c>
      <c r="I525">
        <f>VLOOKUP(O525,BulletType!A$1:F$35,3)</f>
        <v>0</v>
      </c>
      <c r="J525">
        <f>VLOOKUP(O525,BulletType!A$1:F$35,4)</f>
        <v>0</v>
      </c>
      <c r="K525">
        <f>VLOOKUP(O525,BulletType!A$1:F$35,5)</f>
        <v>28</v>
      </c>
      <c r="L525">
        <f>VLOOKUP(O525,BulletType!A$1:F$35,5)</f>
        <v>28</v>
      </c>
      <c r="M525">
        <f>VLOOKUP(O525,BulletType!A$1:F$35,6)</f>
        <v>14</v>
      </c>
      <c r="N525" s="3" t="str">
        <f>VLOOKUP(P525,BulletColor!A$2:B548,2)</f>
        <v>0,0.1,1</v>
      </c>
      <c r="O525">
        <v>19</v>
      </c>
      <c r="P525" s="2">
        <v>5</v>
      </c>
      <c r="Q525" s="2">
        <f t="shared" si="33"/>
        <v>1</v>
      </c>
    </row>
    <row r="526" spans="1:17" x14ac:dyDescent="0.2">
      <c r="A526" s="1">
        <f t="shared" si="35"/>
        <v>119090</v>
      </c>
      <c r="B526" s="3" t="str">
        <f>VLOOKUP(O526,BulletType!A$1:F$35,2)&amp;VLOOKUP(P526,BulletColor!A$1:C$25,3)</f>
        <v>蔷薇 深绿</v>
      </c>
      <c r="C526" s="3" t="str">
        <f t="shared" si="36"/>
        <v>Bullet119090</v>
      </c>
      <c r="D526" s="2">
        <f>VLOOKUP(O526,BulletType!A$2:N574,9)</f>
        <v>0</v>
      </c>
      <c r="E526" s="2">
        <f>VLOOKUP(O526,BulletType!A$2:N574,10)</f>
        <v>0</v>
      </c>
      <c r="F526" s="3" t="str">
        <f>CONCATENATE(VLOOKUP(O526,BulletType!A$2:I$35,8),VLOOKUP(P526,BulletColor!A$2:D$16,4))</f>
        <v>Bullet200090</v>
      </c>
      <c r="G526" s="3" t="str">
        <f>VLOOKUP(O526,BulletType!A$1:G$35,7)</f>
        <v>0,0</v>
      </c>
      <c r="H526" s="2">
        <f t="shared" si="34"/>
        <v>0</v>
      </c>
      <c r="I526">
        <f>VLOOKUP(O526,BulletType!A$1:F$35,3)</f>
        <v>0</v>
      </c>
      <c r="J526">
        <f>VLOOKUP(O526,BulletType!A$1:F$35,4)</f>
        <v>0</v>
      </c>
      <c r="K526">
        <f>VLOOKUP(O526,BulletType!A$1:F$35,5)</f>
        <v>28</v>
      </c>
      <c r="L526">
        <f>VLOOKUP(O526,BulletType!A$1:F$35,5)</f>
        <v>28</v>
      </c>
      <c r="M526">
        <f>VLOOKUP(O526,BulletType!A$1:F$35,6)</f>
        <v>14</v>
      </c>
      <c r="N526" s="3" t="str">
        <f>VLOOKUP(P526,BulletColor!A$2:B549,2)</f>
        <v>0.36,0.78,1</v>
      </c>
      <c r="O526">
        <v>19</v>
      </c>
      <c r="P526" s="2">
        <v>9</v>
      </c>
      <c r="Q526" s="2">
        <f t="shared" si="33"/>
        <v>0</v>
      </c>
    </row>
    <row r="527" spans="1:17" x14ac:dyDescent="0.2">
      <c r="A527" s="1">
        <f t="shared" si="35"/>
        <v>119091</v>
      </c>
      <c r="B527" s="3" t="str">
        <f>VLOOKUP(O527,BulletType!A$1:F$35,2)&amp;VLOOKUP(P527,BulletColor!A$1:C$25,3)</f>
        <v>蔷薇 深绿</v>
      </c>
      <c r="C527" s="3" t="str">
        <f t="shared" si="36"/>
        <v>Bullet119090</v>
      </c>
      <c r="D527" s="2">
        <f>VLOOKUP(O527,BulletType!A$2:N575,9)</f>
        <v>0</v>
      </c>
      <c r="E527" s="2">
        <f>VLOOKUP(O527,BulletType!A$2:N575,10)</f>
        <v>0</v>
      </c>
      <c r="F527" s="3" t="str">
        <f>CONCATENATE(VLOOKUP(O527,BulletType!A$2:I$35,8),VLOOKUP(P527,BulletColor!A$2:D$16,4))</f>
        <v>Bullet200090</v>
      </c>
      <c r="G527" s="3" t="str">
        <f>VLOOKUP(O527,BulletType!A$1:G$35,7)</f>
        <v>0,0</v>
      </c>
      <c r="H527" s="2">
        <f t="shared" si="34"/>
        <v>1</v>
      </c>
      <c r="I527">
        <f>VLOOKUP(O527,BulletType!A$1:F$35,3)</f>
        <v>0</v>
      </c>
      <c r="J527">
        <f>VLOOKUP(O527,BulletType!A$1:F$35,4)</f>
        <v>0</v>
      </c>
      <c r="K527">
        <f>VLOOKUP(O527,BulletType!A$1:F$35,5)</f>
        <v>28</v>
      </c>
      <c r="L527">
        <f>VLOOKUP(O527,BulletType!A$1:F$35,5)</f>
        <v>28</v>
      </c>
      <c r="M527">
        <f>VLOOKUP(O527,BulletType!A$1:F$35,6)</f>
        <v>14</v>
      </c>
      <c r="N527" s="3" t="str">
        <f>VLOOKUP(P527,BulletColor!A$2:B550,2)</f>
        <v>0.36,0.78,1</v>
      </c>
      <c r="O527">
        <v>19</v>
      </c>
      <c r="P527" s="2">
        <v>9</v>
      </c>
      <c r="Q527" s="2">
        <f t="shared" si="33"/>
        <v>1</v>
      </c>
    </row>
    <row r="528" spans="1:17" x14ac:dyDescent="0.2">
      <c r="A528" s="1">
        <f t="shared" si="35"/>
        <v>119130</v>
      </c>
      <c r="B528" s="3" t="str">
        <f>VLOOKUP(O528,BulletType!A$1:F$35,2)&amp;VLOOKUP(P528,BulletColor!A$1:C$25,3)</f>
        <v>蔷薇 浅黄</v>
      </c>
      <c r="C528" s="3" t="str">
        <f t="shared" si="36"/>
        <v>Bullet119130</v>
      </c>
      <c r="D528" s="2">
        <f>VLOOKUP(O528,BulletType!A$2:N576,9)</f>
        <v>0</v>
      </c>
      <c r="E528" s="2">
        <f>VLOOKUP(O528,BulletType!A$2:N576,10)</f>
        <v>0</v>
      </c>
      <c r="F528" s="3" t="str">
        <f>CONCATENATE(VLOOKUP(O528,BulletType!A$2:I$35,8),VLOOKUP(P528,BulletColor!A$2:D$16,4))</f>
        <v>Bullet200130</v>
      </c>
      <c r="G528" s="3" t="str">
        <f>VLOOKUP(O528,BulletType!A$1:G$35,7)</f>
        <v>0,0</v>
      </c>
      <c r="H528" s="2">
        <f t="shared" si="34"/>
        <v>0</v>
      </c>
      <c r="I528">
        <f>VLOOKUP(O528,BulletType!A$1:F$35,3)</f>
        <v>0</v>
      </c>
      <c r="J528">
        <f>VLOOKUP(O528,BulletType!A$1:F$35,4)</f>
        <v>0</v>
      </c>
      <c r="K528">
        <f>VLOOKUP(O528,BulletType!A$1:F$35,5)</f>
        <v>28</v>
      </c>
      <c r="L528">
        <f>VLOOKUP(O528,BulletType!A$1:F$35,5)</f>
        <v>28</v>
      </c>
      <c r="M528">
        <f>VLOOKUP(O528,BulletType!A$1:F$35,6)</f>
        <v>14</v>
      </c>
      <c r="N528" s="3" t="str">
        <f>VLOOKUP(P528,BulletColor!A$2:B551,2)</f>
        <v>0.9,1,0.4</v>
      </c>
      <c r="O528">
        <v>19</v>
      </c>
      <c r="P528" s="2">
        <v>13</v>
      </c>
      <c r="Q528" s="2">
        <f t="shared" si="33"/>
        <v>0</v>
      </c>
    </row>
    <row r="529" spans="1:17" x14ac:dyDescent="0.2">
      <c r="A529" s="1">
        <f t="shared" si="35"/>
        <v>119131</v>
      </c>
      <c r="B529" s="3" t="str">
        <f>VLOOKUP(O529,BulletType!A$1:F$35,2)&amp;VLOOKUP(P529,BulletColor!A$1:C$25,3)</f>
        <v>蔷薇 浅黄</v>
      </c>
      <c r="C529" s="3" t="str">
        <f t="shared" si="36"/>
        <v>Bullet119130</v>
      </c>
      <c r="D529" s="2">
        <f>VLOOKUP(O529,BulletType!A$2:N577,9)</f>
        <v>0</v>
      </c>
      <c r="E529" s="2">
        <f>VLOOKUP(O529,BulletType!A$2:N577,10)</f>
        <v>0</v>
      </c>
      <c r="F529" s="3" t="str">
        <f>CONCATENATE(VLOOKUP(O529,BulletType!A$2:I$35,8),VLOOKUP(P529,BulletColor!A$2:D$16,4))</f>
        <v>Bullet200130</v>
      </c>
      <c r="G529" s="3" t="str">
        <f>VLOOKUP(O529,BulletType!A$1:G$35,7)</f>
        <v>0,0</v>
      </c>
      <c r="H529" s="2">
        <f t="shared" si="34"/>
        <v>1</v>
      </c>
      <c r="I529">
        <f>VLOOKUP(O529,BulletType!A$1:F$35,3)</f>
        <v>0</v>
      </c>
      <c r="J529">
        <f>VLOOKUP(O529,BulletType!A$1:F$35,4)</f>
        <v>0</v>
      </c>
      <c r="K529">
        <f>VLOOKUP(O529,BulletType!A$1:F$35,5)</f>
        <v>28</v>
      </c>
      <c r="L529">
        <f>VLOOKUP(O529,BulletType!A$1:F$35,5)</f>
        <v>28</v>
      </c>
      <c r="M529">
        <f>VLOOKUP(O529,BulletType!A$1:F$35,6)</f>
        <v>14</v>
      </c>
      <c r="N529" s="3" t="str">
        <f>VLOOKUP(P529,BulletColor!A$2:B552,2)</f>
        <v>0.9,1,0.4</v>
      </c>
      <c r="O529">
        <v>19</v>
      </c>
      <c r="P529" s="2">
        <v>13</v>
      </c>
      <c r="Q529" s="2">
        <f t="shared" si="33"/>
        <v>1</v>
      </c>
    </row>
    <row r="530" spans="1:17" x14ac:dyDescent="0.2">
      <c r="A530" s="1">
        <f t="shared" si="35"/>
        <v>120000</v>
      </c>
      <c r="B530" s="3" t="str">
        <f>VLOOKUP(O530,BulletType!A$1:F$35,2)&amp;VLOOKUP(P530,BulletColor!A$1:C$25,3)</f>
        <v>心弹灰</v>
      </c>
      <c r="C530" s="3" t="str">
        <f t="shared" si="36"/>
        <v>Bullet120000</v>
      </c>
      <c r="D530" s="2">
        <f>VLOOKUP(O530,BulletType!A$2:N578,9)</f>
        <v>0</v>
      </c>
      <c r="E530" s="2">
        <f>VLOOKUP(O530,BulletType!A$2:N578,10)</f>
        <v>0</v>
      </c>
      <c r="F530" s="3" t="str">
        <f>CONCATENATE(VLOOKUP(O530,BulletType!A$2:I$35,8),VLOOKUP(P530,BulletColor!A$2:D$16,4))</f>
        <v>Bullet200000</v>
      </c>
      <c r="G530" s="3" t="str">
        <f>VLOOKUP(O530,BulletType!A$1:G$35,7)</f>
        <v>4,1</v>
      </c>
      <c r="H530" s="2">
        <f t="shared" si="34"/>
        <v>0</v>
      </c>
      <c r="I530">
        <f>VLOOKUP(O530,BulletType!A$1:F$35,3)</f>
        <v>1</v>
      </c>
      <c r="J530">
        <f>VLOOKUP(O530,BulletType!A$1:F$35,4)</f>
        <v>0</v>
      </c>
      <c r="K530">
        <f>VLOOKUP(O530,BulletType!A$1:F$35,5)</f>
        <v>20</v>
      </c>
      <c r="L530">
        <f>VLOOKUP(O530,BulletType!A$1:F$35,5)</f>
        <v>20</v>
      </c>
      <c r="M530">
        <f>VLOOKUP(O530,BulletType!A$1:F$35,6)</f>
        <v>10</v>
      </c>
      <c r="N530" s="3" t="str">
        <f>VLOOKUP(P530,BulletColor!A$2:B553,2)</f>
        <v>0.5,0.5,0.5</v>
      </c>
      <c r="O530">
        <v>20</v>
      </c>
      <c r="P530" s="2">
        <v>0</v>
      </c>
      <c r="Q530" s="2">
        <f t="shared" si="33"/>
        <v>0</v>
      </c>
    </row>
    <row r="531" spans="1:17" x14ac:dyDescent="0.2">
      <c r="A531" s="1">
        <f t="shared" si="35"/>
        <v>120001</v>
      </c>
      <c r="B531" s="3" t="str">
        <f>VLOOKUP(O531,BulletType!A$1:F$35,2)&amp;VLOOKUP(P531,BulletColor!A$1:C$25,3)</f>
        <v>心弹灰</v>
      </c>
      <c r="C531" s="3" t="str">
        <f t="shared" si="36"/>
        <v>Bullet120000</v>
      </c>
      <c r="D531" s="2">
        <f>VLOOKUP(O531,BulletType!A$2:N579,9)</f>
        <v>0</v>
      </c>
      <c r="E531" s="2">
        <f>VLOOKUP(O531,BulletType!A$2:N579,10)</f>
        <v>0</v>
      </c>
      <c r="F531" s="3" t="str">
        <f>CONCATENATE(VLOOKUP(O531,BulletType!A$2:I$35,8),VLOOKUP(P531,BulletColor!A$2:D$16,4))</f>
        <v>Bullet200000</v>
      </c>
      <c r="G531" s="3" t="str">
        <f>VLOOKUP(O531,BulletType!A$1:G$35,7)</f>
        <v>4,1</v>
      </c>
      <c r="H531" s="2">
        <f t="shared" si="34"/>
        <v>1</v>
      </c>
      <c r="I531">
        <f>VLOOKUP(O531,BulletType!A$1:F$35,3)</f>
        <v>1</v>
      </c>
      <c r="J531">
        <f>VLOOKUP(O531,BulletType!A$1:F$35,4)</f>
        <v>0</v>
      </c>
      <c r="K531">
        <f>VLOOKUP(O531,BulletType!A$1:F$35,5)</f>
        <v>20</v>
      </c>
      <c r="L531">
        <f>VLOOKUP(O531,BulletType!A$1:F$35,5)</f>
        <v>20</v>
      </c>
      <c r="M531">
        <f>VLOOKUP(O531,BulletType!A$1:F$35,6)</f>
        <v>10</v>
      </c>
      <c r="N531" s="3" t="str">
        <f>VLOOKUP(P531,BulletColor!A$2:B554,2)</f>
        <v>0.5,0.5,0.5</v>
      </c>
      <c r="O531">
        <v>20</v>
      </c>
      <c r="P531" s="2">
        <v>0</v>
      </c>
      <c r="Q531" s="2">
        <f t="shared" si="33"/>
        <v>1</v>
      </c>
    </row>
    <row r="532" spans="1:17" x14ac:dyDescent="0.2">
      <c r="A532" s="1">
        <f t="shared" si="35"/>
        <v>120010</v>
      </c>
      <c r="B532" s="3" t="str">
        <f>VLOOKUP(O532,BulletType!A$1:F$35,2)&amp;VLOOKUP(P532,BulletColor!A$1:C$25,3)</f>
        <v>心弹深红</v>
      </c>
      <c r="C532" s="3" t="str">
        <f t="shared" si="36"/>
        <v>Bullet120010</v>
      </c>
      <c r="D532" s="2">
        <f>VLOOKUP(O532,BulletType!A$2:N580,9)</f>
        <v>0</v>
      </c>
      <c r="E532" s="2">
        <f>VLOOKUP(O532,BulletType!A$2:N580,10)</f>
        <v>0</v>
      </c>
      <c r="F532" s="3" t="str">
        <f>CONCATENATE(VLOOKUP(O532,BulletType!A$2:I$35,8),VLOOKUP(P532,BulletColor!A$2:D$16,4))</f>
        <v>Bullet200010</v>
      </c>
      <c r="G532" s="3" t="str">
        <f>VLOOKUP(O532,BulletType!A$1:G$35,7)</f>
        <v>4,1</v>
      </c>
      <c r="H532" s="2">
        <f t="shared" si="34"/>
        <v>0</v>
      </c>
      <c r="I532">
        <f>VLOOKUP(O532,BulletType!A$1:F$35,3)</f>
        <v>1</v>
      </c>
      <c r="J532">
        <f>VLOOKUP(O532,BulletType!A$1:F$35,4)</f>
        <v>0</v>
      </c>
      <c r="K532">
        <f>VLOOKUP(O532,BulletType!A$1:F$35,5)</f>
        <v>20</v>
      </c>
      <c r="L532">
        <f>VLOOKUP(O532,BulletType!A$1:F$35,5)</f>
        <v>20</v>
      </c>
      <c r="M532">
        <f>VLOOKUP(O532,BulletType!A$1:F$35,6)</f>
        <v>10</v>
      </c>
      <c r="N532" s="3" t="str">
        <f>VLOOKUP(P532,BulletColor!A$2:B555,2)</f>
        <v>0.625,0.3,0.3</v>
      </c>
      <c r="O532">
        <v>20</v>
      </c>
      <c r="P532" s="2">
        <v>1</v>
      </c>
      <c r="Q532" s="2">
        <f t="shared" si="33"/>
        <v>0</v>
      </c>
    </row>
    <row r="533" spans="1:17" x14ac:dyDescent="0.2">
      <c r="A533" s="1">
        <f t="shared" si="35"/>
        <v>120011</v>
      </c>
      <c r="B533" s="3" t="str">
        <f>VLOOKUP(O533,BulletType!A$1:F$35,2)&amp;VLOOKUP(P533,BulletColor!A$1:C$25,3)</f>
        <v>心弹深红</v>
      </c>
      <c r="C533" s="3" t="str">
        <f t="shared" si="36"/>
        <v>Bullet120010</v>
      </c>
      <c r="D533" s="2">
        <f>VLOOKUP(O533,BulletType!A$2:N581,9)</f>
        <v>0</v>
      </c>
      <c r="E533" s="2">
        <f>VLOOKUP(O533,BulletType!A$2:N581,10)</f>
        <v>0</v>
      </c>
      <c r="F533" s="3" t="str">
        <f>CONCATENATE(VLOOKUP(O533,BulletType!A$2:I$35,8),VLOOKUP(P533,BulletColor!A$2:D$16,4))</f>
        <v>Bullet200010</v>
      </c>
      <c r="G533" s="3" t="str">
        <f>VLOOKUP(O533,BulletType!A$1:G$35,7)</f>
        <v>4,1</v>
      </c>
      <c r="H533" s="2">
        <f t="shared" si="34"/>
        <v>1</v>
      </c>
      <c r="I533">
        <f>VLOOKUP(O533,BulletType!A$1:F$35,3)</f>
        <v>1</v>
      </c>
      <c r="J533">
        <f>VLOOKUP(O533,BulletType!A$1:F$35,4)</f>
        <v>0</v>
      </c>
      <c r="K533">
        <f>VLOOKUP(O533,BulletType!A$1:F$35,5)</f>
        <v>20</v>
      </c>
      <c r="L533">
        <f>VLOOKUP(O533,BulletType!A$1:F$35,5)</f>
        <v>20</v>
      </c>
      <c r="M533">
        <f>VLOOKUP(O533,BulletType!A$1:F$35,6)</f>
        <v>10</v>
      </c>
      <c r="N533" s="3" t="str">
        <f>VLOOKUP(P533,BulletColor!A$2:B556,2)</f>
        <v>0.625,0.3,0.3</v>
      </c>
      <c r="O533">
        <v>20</v>
      </c>
      <c r="P533" s="2">
        <v>1</v>
      </c>
      <c r="Q533" s="2">
        <f t="shared" si="33"/>
        <v>1</v>
      </c>
    </row>
    <row r="534" spans="1:17" x14ac:dyDescent="0.2">
      <c r="A534" s="1">
        <f t="shared" si="35"/>
        <v>120020</v>
      </c>
      <c r="B534" s="3" t="str">
        <f>VLOOKUP(O534,BulletType!A$1:F$35,2)&amp;VLOOKUP(P534,BulletColor!A$1:C$25,3)</f>
        <v>心弹红</v>
      </c>
      <c r="C534" s="3" t="str">
        <f t="shared" si="36"/>
        <v>Bullet120020</v>
      </c>
      <c r="D534" s="2">
        <f>VLOOKUP(O534,BulletType!A$2:N582,9)</f>
        <v>0</v>
      </c>
      <c r="E534" s="2">
        <f>VLOOKUP(O534,BulletType!A$2:N582,10)</f>
        <v>0</v>
      </c>
      <c r="F534" s="3" t="str">
        <f>CONCATENATE(VLOOKUP(O534,BulletType!A$2:I$35,8),VLOOKUP(P534,BulletColor!A$2:D$16,4))</f>
        <v>Bullet200010</v>
      </c>
      <c r="G534" s="3" t="str">
        <f>VLOOKUP(O534,BulletType!A$1:G$35,7)</f>
        <v>4,1</v>
      </c>
      <c r="H534" s="2">
        <f t="shared" si="34"/>
        <v>0</v>
      </c>
      <c r="I534">
        <f>VLOOKUP(O534,BulletType!A$1:F$35,3)</f>
        <v>1</v>
      </c>
      <c r="J534">
        <f>VLOOKUP(O534,BulletType!A$1:F$35,4)</f>
        <v>0</v>
      </c>
      <c r="K534">
        <f>VLOOKUP(O534,BulletType!A$1:F$35,5)</f>
        <v>20</v>
      </c>
      <c r="L534">
        <f>VLOOKUP(O534,BulletType!A$1:F$35,5)</f>
        <v>20</v>
      </c>
      <c r="M534">
        <f>VLOOKUP(O534,BulletType!A$1:F$35,6)</f>
        <v>10</v>
      </c>
      <c r="N534" s="3" t="str">
        <f>VLOOKUP(P534,BulletColor!A$2:B557,2)</f>
        <v>0.8,0.3,0.3</v>
      </c>
      <c r="O534">
        <v>20</v>
      </c>
      <c r="P534" s="2">
        <v>2</v>
      </c>
      <c r="Q534" s="2">
        <f t="shared" si="33"/>
        <v>0</v>
      </c>
    </row>
    <row r="535" spans="1:17" x14ac:dyDescent="0.2">
      <c r="A535" s="1">
        <f t="shared" si="35"/>
        <v>120021</v>
      </c>
      <c r="B535" s="3" t="str">
        <f>VLOOKUP(O535,BulletType!A$1:F$35,2)&amp;VLOOKUP(P535,BulletColor!A$1:C$25,3)</f>
        <v>心弹红</v>
      </c>
      <c r="C535" s="3" t="str">
        <f t="shared" si="36"/>
        <v>Bullet120020</v>
      </c>
      <c r="D535" s="2">
        <f>VLOOKUP(O535,BulletType!A$2:N583,9)</f>
        <v>0</v>
      </c>
      <c r="E535" s="2">
        <f>VLOOKUP(O535,BulletType!A$2:N583,10)</f>
        <v>0</v>
      </c>
      <c r="F535" s="3" t="str">
        <f>CONCATENATE(VLOOKUP(O535,BulletType!A$2:I$35,8),VLOOKUP(P535,BulletColor!A$2:D$16,4))</f>
        <v>Bullet200010</v>
      </c>
      <c r="G535" s="3" t="str">
        <f>VLOOKUP(O535,BulletType!A$1:G$35,7)</f>
        <v>4,1</v>
      </c>
      <c r="H535" s="2">
        <f t="shared" si="34"/>
        <v>1</v>
      </c>
      <c r="I535">
        <f>VLOOKUP(O535,BulletType!A$1:F$35,3)</f>
        <v>1</v>
      </c>
      <c r="J535">
        <f>VLOOKUP(O535,BulletType!A$1:F$35,4)</f>
        <v>0</v>
      </c>
      <c r="K535">
        <f>VLOOKUP(O535,BulletType!A$1:F$35,5)</f>
        <v>20</v>
      </c>
      <c r="L535">
        <f>VLOOKUP(O535,BulletType!A$1:F$35,5)</f>
        <v>20</v>
      </c>
      <c r="M535">
        <f>VLOOKUP(O535,BulletType!A$1:F$35,6)</f>
        <v>10</v>
      </c>
      <c r="N535" s="3" t="str">
        <f>VLOOKUP(P535,BulletColor!A$2:B558,2)</f>
        <v>0.8,0.3,0.3</v>
      </c>
      <c r="O535">
        <v>20</v>
      </c>
      <c r="P535" s="2">
        <v>2</v>
      </c>
      <c r="Q535" s="2">
        <f t="shared" si="33"/>
        <v>1</v>
      </c>
    </row>
    <row r="536" spans="1:17" x14ac:dyDescent="0.2">
      <c r="A536" s="1">
        <f t="shared" si="35"/>
        <v>120030</v>
      </c>
      <c r="B536" s="3" t="str">
        <f>VLOOKUP(O536,BulletType!A$1:F$35,2)&amp;VLOOKUP(P536,BulletColor!A$1:C$25,3)</f>
        <v>心弹深紫</v>
      </c>
      <c r="C536" s="3" t="str">
        <f t="shared" si="36"/>
        <v>Bullet120030</v>
      </c>
      <c r="D536" s="2">
        <f>VLOOKUP(O536,BulletType!A$2:N584,9)</f>
        <v>0</v>
      </c>
      <c r="E536" s="2">
        <f>VLOOKUP(O536,BulletType!A$2:N584,10)</f>
        <v>0</v>
      </c>
      <c r="F536" s="3" t="str">
        <f>CONCATENATE(VLOOKUP(O536,BulletType!A$2:I$35,8),VLOOKUP(P536,BulletColor!A$2:D$16,4))</f>
        <v>Bullet200030</v>
      </c>
      <c r="G536" s="3" t="str">
        <f>VLOOKUP(O536,BulletType!A$1:G$35,7)</f>
        <v>4,1</v>
      </c>
      <c r="H536" s="2">
        <f t="shared" si="34"/>
        <v>0</v>
      </c>
      <c r="I536">
        <f>VLOOKUP(O536,BulletType!A$1:F$35,3)</f>
        <v>1</v>
      </c>
      <c r="J536">
        <f>VLOOKUP(O536,BulletType!A$1:F$35,4)</f>
        <v>0</v>
      </c>
      <c r="K536">
        <f>VLOOKUP(O536,BulletType!A$1:F$35,5)</f>
        <v>20</v>
      </c>
      <c r="L536">
        <f>VLOOKUP(O536,BulletType!A$1:F$35,5)</f>
        <v>20</v>
      </c>
      <c r="M536">
        <f>VLOOKUP(O536,BulletType!A$1:F$35,6)</f>
        <v>10</v>
      </c>
      <c r="N536" s="3" t="str">
        <f>VLOOKUP(P536,BulletColor!A$2:B559,2)</f>
        <v>1,0.65,1</v>
      </c>
      <c r="O536">
        <v>20</v>
      </c>
      <c r="P536" s="2">
        <v>3</v>
      </c>
      <c r="Q536" s="2">
        <f t="shared" si="33"/>
        <v>0</v>
      </c>
    </row>
    <row r="537" spans="1:17" x14ac:dyDescent="0.2">
      <c r="A537" s="1">
        <f t="shared" si="35"/>
        <v>120031</v>
      </c>
      <c r="B537" s="3" t="str">
        <f>VLOOKUP(O537,BulletType!A$1:F$35,2)&amp;VLOOKUP(P537,BulletColor!A$1:C$25,3)</f>
        <v>心弹深紫</v>
      </c>
      <c r="C537" s="3" t="str">
        <f t="shared" si="36"/>
        <v>Bullet120030</v>
      </c>
      <c r="D537" s="2">
        <f>VLOOKUP(O537,BulletType!A$2:N585,9)</f>
        <v>0</v>
      </c>
      <c r="E537" s="2">
        <f>VLOOKUP(O537,BulletType!A$2:N585,10)</f>
        <v>0</v>
      </c>
      <c r="F537" s="3" t="str">
        <f>CONCATENATE(VLOOKUP(O537,BulletType!A$2:I$35,8),VLOOKUP(P537,BulletColor!A$2:D$16,4))</f>
        <v>Bullet200030</v>
      </c>
      <c r="G537" s="3" t="str">
        <f>VLOOKUP(O537,BulletType!A$1:G$35,7)</f>
        <v>4,1</v>
      </c>
      <c r="H537" s="2">
        <f t="shared" si="34"/>
        <v>1</v>
      </c>
      <c r="I537">
        <f>VLOOKUP(O537,BulletType!A$1:F$35,3)</f>
        <v>1</v>
      </c>
      <c r="J537">
        <f>VLOOKUP(O537,BulletType!A$1:F$35,4)</f>
        <v>0</v>
      </c>
      <c r="K537">
        <f>VLOOKUP(O537,BulletType!A$1:F$35,5)</f>
        <v>20</v>
      </c>
      <c r="L537">
        <f>VLOOKUP(O537,BulletType!A$1:F$35,5)</f>
        <v>20</v>
      </c>
      <c r="M537">
        <f>VLOOKUP(O537,BulletType!A$1:F$35,6)</f>
        <v>10</v>
      </c>
      <c r="N537" s="3" t="str">
        <f>VLOOKUP(P537,BulletColor!A$2:B560,2)</f>
        <v>1,0.65,1</v>
      </c>
      <c r="O537">
        <v>20</v>
      </c>
      <c r="P537" s="2">
        <v>3</v>
      </c>
      <c r="Q537" s="2">
        <f t="shared" si="33"/>
        <v>1</v>
      </c>
    </row>
    <row r="538" spans="1:17" x14ac:dyDescent="0.2">
      <c r="A538" s="1">
        <f t="shared" si="35"/>
        <v>120040</v>
      </c>
      <c r="B538" s="3" t="str">
        <f>VLOOKUP(O538,BulletType!A$1:F$35,2)&amp;VLOOKUP(P538,BulletColor!A$1:C$25,3)</f>
        <v>心弹紫</v>
      </c>
      <c r="C538" s="3" t="str">
        <f t="shared" si="36"/>
        <v>Bullet120040</v>
      </c>
      <c r="D538" s="2">
        <f>VLOOKUP(O538,BulletType!A$2:N586,9)</f>
        <v>0</v>
      </c>
      <c r="E538" s="2">
        <f>VLOOKUP(O538,BulletType!A$2:N586,10)</f>
        <v>0</v>
      </c>
      <c r="F538" s="3" t="str">
        <f>CONCATENATE(VLOOKUP(O538,BulletType!A$2:I$35,8),VLOOKUP(P538,BulletColor!A$2:D$16,4))</f>
        <v>Bullet200030</v>
      </c>
      <c r="G538" s="3" t="str">
        <f>VLOOKUP(O538,BulletType!A$1:G$35,7)</f>
        <v>4,1</v>
      </c>
      <c r="H538" s="2">
        <f t="shared" si="34"/>
        <v>0</v>
      </c>
      <c r="I538">
        <f>VLOOKUP(O538,BulletType!A$1:F$35,3)</f>
        <v>1</v>
      </c>
      <c r="J538">
        <f>VLOOKUP(O538,BulletType!A$1:F$35,4)</f>
        <v>0</v>
      </c>
      <c r="K538">
        <f>VLOOKUP(O538,BulletType!A$1:F$35,5)</f>
        <v>20</v>
      </c>
      <c r="L538">
        <f>VLOOKUP(O538,BulletType!A$1:F$35,5)</f>
        <v>20</v>
      </c>
      <c r="M538">
        <f>VLOOKUP(O538,BulletType!A$1:F$35,6)</f>
        <v>10</v>
      </c>
      <c r="N538" s="3" t="str">
        <f>VLOOKUP(P538,BulletColor!A$2:B561,2)</f>
        <v>1,0.65,1</v>
      </c>
      <c r="O538">
        <v>20</v>
      </c>
      <c r="P538" s="2">
        <v>4</v>
      </c>
      <c r="Q538" s="2">
        <f t="shared" si="33"/>
        <v>0</v>
      </c>
    </row>
    <row r="539" spans="1:17" x14ac:dyDescent="0.2">
      <c r="A539" s="1">
        <f t="shared" si="35"/>
        <v>120041</v>
      </c>
      <c r="B539" s="3" t="str">
        <f>VLOOKUP(O539,BulletType!A$1:F$35,2)&amp;VLOOKUP(P539,BulletColor!A$1:C$25,3)</f>
        <v>心弹紫</v>
      </c>
      <c r="C539" s="3" t="str">
        <f t="shared" si="36"/>
        <v>Bullet120040</v>
      </c>
      <c r="D539" s="2">
        <f>VLOOKUP(O539,BulletType!A$2:N587,9)</f>
        <v>0</v>
      </c>
      <c r="E539" s="2">
        <f>VLOOKUP(O539,BulletType!A$2:N587,10)</f>
        <v>0</v>
      </c>
      <c r="F539" s="3" t="str">
        <f>CONCATENATE(VLOOKUP(O539,BulletType!A$2:I$35,8),VLOOKUP(P539,BulletColor!A$2:D$16,4))</f>
        <v>Bullet200030</v>
      </c>
      <c r="G539" s="3" t="str">
        <f>VLOOKUP(O539,BulletType!A$1:G$35,7)</f>
        <v>4,1</v>
      </c>
      <c r="H539" s="2">
        <f t="shared" si="34"/>
        <v>1</v>
      </c>
      <c r="I539">
        <f>VLOOKUP(O539,BulletType!A$1:F$35,3)</f>
        <v>1</v>
      </c>
      <c r="J539">
        <f>VLOOKUP(O539,BulletType!A$1:F$35,4)</f>
        <v>0</v>
      </c>
      <c r="K539">
        <f>VLOOKUP(O539,BulletType!A$1:F$35,5)</f>
        <v>20</v>
      </c>
      <c r="L539">
        <f>VLOOKUP(O539,BulletType!A$1:F$35,5)</f>
        <v>20</v>
      </c>
      <c r="M539">
        <f>VLOOKUP(O539,BulletType!A$1:F$35,6)</f>
        <v>10</v>
      </c>
      <c r="N539" s="3" t="str">
        <f>VLOOKUP(P539,BulletColor!A$2:B562,2)</f>
        <v>1,0.65,1</v>
      </c>
      <c r="O539">
        <v>20</v>
      </c>
      <c r="P539" s="2">
        <v>4</v>
      </c>
      <c r="Q539" s="2">
        <f t="shared" si="33"/>
        <v>1</v>
      </c>
    </row>
    <row r="540" spans="1:17" x14ac:dyDescent="0.2">
      <c r="A540" s="1">
        <f t="shared" si="35"/>
        <v>120050</v>
      </c>
      <c r="B540" s="3" t="str">
        <f>VLOOKUP(O540,BulletType!A$1:F$35,2)&amp;VLOOKUP(P540,BulletColor!A$1:C$25,3)</f>
        <v>心弹深蓝</v>
      </c>
      <c r="C540" s="3" t="str">
        <f t="shared" si="36"/>
        <v>Bullet120050</v>
      </c>
      <c r="D540" s="2">
        <f>VLOOKUP(O540,BulletType!A$2:N588,9)</f>
        <v>0</v>
      </c>
      <c r="E540" s="2">
        <f>VLOOKUP(O540,BulletType!A$2:N588,10)</f>
        <v>0</v>
      </c>
      <c r="F540" s="3" t="str">
        <f>CONCATENATE(VLOOKUP(O540,BulletType!A$2:I$35,8),VLOOKUP(P540,BulletColor!A$2:D$16,4))</f>
        <v>Bullet200050</v>
      </c>
      <c r="G540" s="3" t="str">
        <f>VLOOKUP(O540,BulletType!A$1:G$35,7)</f>
        <v>4,1</v>
      </c>
      <c r="H540" s="2">
        <f t="shared" si="34"/>
        <v>0</v>
      </c>
      <c r="I540">
        <f>VLOOKUP(O540,BulletType!A$1:F$35,3)</f>
        <v>1</v>
      </c>
      <c r="J540">
        <f>VLOOKUP(O540,BulletType!A$1:F$35,4)</f>
        <v>0</v>
      </c>
      <c r="K540">
        <f>VLOOKUP(O540,BulletType!A$1:F$35,5)</f>
        <v>20</v>
      </c>
      <c r="L540">
        <f>VLOOKUP(O540,BulletType!A$1:F$35,5)</f>
        <v>20</v>
      </c>
      <c r="M540">
        <f>VLOOKUP(O540,BulletType!A$1:F$35,6)</f>
        <v>10</v>
      </c>
      <c r="N540" s="3" t="str">
        <f>VLOOKUP(P540,BulletColor!A$2:B563,2)</f>
        <v>0,0.1,1</v>
      </c>
      <c r="O540">
        <v>20</v>
      </c>
      <c r="P540" s="2">
        <v>5</v>
      </c>
      <c r="Q540" s="2">
        <f t="shared" si="33"/>
        <v>0</v>
      </c>
    </row>
    <row r="541" spans="1:17" x14ac:dyDescent="0.2">
      <c r="A541" s="1">
        <f t="shared" si="35"/>
        <v>120051</v>
      </c>
      <c r="B541" s="3" t="str">
        <f>VLOOKUP(O541,BulletType!A$1:F$35,2)&amp;VLOOKUP(P541,BulletColor!A$1:C$25,3)</f>
        <v>心弹深蓝</v>
      </c>
      <c r="C541" s="3" t="str">
        <f t="shared" si="36"/>
        <v>Bullet120050</v>
      </c>
      <c r="D541" s="2">
        <f>VLOOKUP(O541,BulletType!A$2:N589,9)</f>
        <v>0</v>
      </c>
      <c r="E541" s="2">
        <f>VLOOKUP(O541,BulletType!A$2:N589,10)</f>
        <v>0</v>
      </c>
      <c r="F541" s="3" t="str">
        <f>CONCATENATE(VLOOKUP(O541,BulletType!A$2:I$35,8),VLOOKUP(P541,BulletColor!A$2:D$16,4))</f>
        <v>Bullet200050</v>
      </c>
      <c r="G541" s="3" t="str">
        <f>VLOOKUP(O541,BulletType!A$1:G$35,7)</f>
        <v>4,1</v>
      </c>
      <c r="H541" s="2">
        <f t="shared" si="34"/>
        <v>1</v>
      </c>
      <c r="I541">
        <f>VLOOKUP(O541,BulletType!A$1:F$35,3)</f>
        <v>1</v>
      </c>
      <c r="J541">
        <f>VLOOKUP(O541,BulletType!A$1:F$35,4)</f>
        <v>0</v>
      </c>
      <c r="K541">
        <f>VLOOKUP(O541,BulletType!A$1:F$35,5)</f>
        <v>20</v>
      </c>
      <c r="L541">
        <f>VLOOKUP(O541,BulletType!A$1:F$35,5)</f>
        <v>20</v>
      </c>
      <c r="M541">
        <f>VLOOKUP(O541,BulletType!A$1:F$35,6)</f>
        <v>10</v>
      </c>
      <c r="N541" s="3" t="str">
        <f>VLOOKUP(P541,BulletColor!A$2:B564,2)</f>
        <v>0,0.1,1</v>
      </c>
      <c r="O541">
        <v>20</v>
      </c>
      <c r="P541" s="2">
        <v>5</v>
      </c>
      <c r="Q541" s="2">
        <f t="shared" si="33"/>
        <v>1</v>
      </c>
    </row>
    <row r="542" spans="1:17" x14ac:dyDescent="0.2">
      <c r="A542" s="1">
        <f t="shared" si="35"/>
        <v>120060</v>
      </c>
      <c r="B542" s="3" t="str">
        <f>VLOOKUP(O542,BulletType!A$1:F$35,2)&amp;VLOOKUP(P542,BulletColor!A$1:C$25,3)</f>
        <v>心弹蓝</v>
      </c>
      <c r="C542" s="3" t="str">
        <f t="shared" si="36"/>
        <v>Bullet120060</v>
      </c>
      <c r="D542" s="2">
        <f>VLOOKUP(O542,BulletType!A$2:N590,9)</f>
        <v>0</v>
      </c>
      <c r="E542" s="2">
        <f>VLOOKUP(O542,BulletType!A$2:N590,10)</f>
        <v>0</v>
      </c>
      <c r="F542" s="3" t="str">
        <f>CONCATENATE(VLOOKUP(O542,BulletType!A$2:I$35,8),VLOOKUP(P542,BulletColor!A$2:D$16,4))</f>
        <v>Bullet200050</v>
      </c>
      <c r="G542" s="3" t="str">
        <f>VLOOKUP(O542,BulletType!A$1:G$35,7)</f>
        <v>4,1</v>
      </c>
      <c r="H542" s="2">
        <f t="shared" si="34"/>
        <v>0</v>
      </c>
      <c r="I542">
        <f>VLOOKUP(O542,BulletType!A$1:F$35,3)</f>
        <v>1</v>
      </c>
      <c r="J542">
        <f>VLOOKUP(O542,BulletType!A$1:F$35,4)</f>
        <v>0</v>
      </c>
      <c r="K542">
        <f>VLOOKUP(O542,BulletType!A$1:F$35,5)</f>
        <v>20</v>
      </c>
      <c r="L542">
        <f>VLOOKUP(O542,BulletType!A$1:F$35,5)</f>
        <v>20</v>
      </c>
      <c r="M542">
        <f>VLOOKUP(O542,BulletType!A$1:F$35,6)</f>
        <v>10</v>
      </c>
      <c r="N542" s="3" t="str">
        <f>VLOOKUP(P542,BulletColor!A$2:B565,2)</f>
        <v>0,0.1,1</v>
      </c>
      <c r="O542">
        <v>20</v>
      </c>
      <c r="P542" s="2">
        <v>6</v>
      </c>
      <c r="Q542" s="2">
        <f t="shared" si="33"/>
        <v>0</v>
      </c>
    </row>
    <row r="543" spans="1:17" x14ac:dyDescent="0.2">
      <c r="A543" s="1">
        <f t="shared" si="35"/>
        <v>120061</v>
      </c>
      <c r="B543" s="3" t="str">
        <f>VLOOKUP(O543,BulletType!A$1:F$35,2)&amp;VLOOKUP(P543,BulletColor!A$1:C$25,3)</f>
        <v>心弹蓝</v>
      </c>
      <c r="C543" s="3" t="str">
        <f t="shared" si="36"/>
        <v>Bullet120060</v>
      </c>
      <c r="D543" s="2">
        <f>VLOOKUP(O543,BulletType!A$2:N591,9)</f>
        <v>0</v>
      </c>
      <c r="E543" s="2">
        <f>VLOOKUP(O543,BulletType!A$2:N591,10)</f>
        <v>0</v>
      </c>
      <c r="F543" s="3" t="str">
        <f>CONCATENATE(VLOOKUP(O543,BulletType!A$2:I$35,8),VLOOKUP(P543,BulletColor!A$2:D$16,4))</f>
        <v>Bullet200050</v>
      </c>
      <c r="G543" s="3" t="str">
        <f>VLOOKUP(O543,BulletType!A$1:G$35,7)</f>
        <v>4,1</v>
      </c>
      <c r="H543" s="2">
        <f t="shared" si="34"/>
        <v>1</v>
      </c>
      <c r="I543">
        <f>VLOOKUP(O543,BulletType!A$1:F$35,3)</f>
        <v>1</v>
      </c>
      <c r="J543">
        <f>VLOOKUP(O543,BulletType!A$1:F$35,4)</f>
        <v>0</v>
      </c>
      <c r="K543">
        <f>VLOOKUP(O543,BulletType!A$1:F$35,5)</f>
        <v>20</v>
      </c>
      <c r="L543">
        <f>VLOOKUP(O543,BulletType!A$1:F$35,5)</f>
        <v>20</v>
      </c>
      <c r="M543">
        <f>VLOOKUP(O543,BulletType!A$1:F$35,6)</f>
        <v>10</v>
      </c>
      <c r="N543" s="3" t="str">
        <f>VLOOKUP(P543,BulletColor!A$2:B566,2)</f>
        <v>0,0.1,1</v>
      </c>
      <c r="O543">
        <v>20</v>
      </c>
      <c r="P543" s="2">
        <v>6</v>
      </c>
      <c r="Q543" s="2">
        <f t="shared" si="33"/>
        <v>1</v>
      </c>
    </row>
    <row r="544" spans="1:17" x14ac:dyDescent="0.2">
      <c r="A544" s="1">
        <f t="shared" si="35"/>
        <v>120070</v>
      </c>
      <c r="B544" s="3" t="str">
        <f>VLOOKUP(O544,BulletType!A$1:F$35,2)&amp;VLOOKUP(P544,BulletColor!A$1:C$25,3)</f>
        <v>心弹深青</v>
      </c>
      <c r="C544" s="3" t="str">
        <f t="shared" si="36"/>
        <v>Bullet120070</v>
      </c>
      <c r="D544" s="2">
        <f>VLOOKUP(O544,BulletType!A$2:N592,9)</f>
        <v>0</v>
      </c>
      <c r="E544" s="2">
        <f>VLOOKUP(O544,BulletType!A$2:N592,10)</f>
        <v>0</v>
      </c>
      <c r="F544" s="3" t="str">
        <f>CONCATENATE(VLOOKUP(O544,BulletType!A$2:I$35,8),VLOOKUP(P544,BulletColor!A$2:D$16,4))</f>
        <v>Bullet200070</v>
      </c>
      <c r="G544" s="3" t="str">
        <f>VLOOKUP(O544,BulletType!A$1:G$35,7)</f>
        <v>4,1</v>
      </c>
      <c r="H544" s="2">
        <f t="shared" si="34"/>
        <v>0</v>
      </c>
      <c r="I544">
        <f>VLOOKUP(O544,BulletType!A$1:F$35,3)</f>
        <v>1</v>
      </c>
      <c r="J544">
        <f>VLOOKUP(O544,BulletType!A$1:F$35,4)</f>
        <v>0</v>
      </c>
      <c r="K544">
        <f>VLOOKUP(O544,BulletType!A$1:F$35,5)</f>
        <v>20</v>
      </c>
      <c r="L544">
        <f>VLOOKUP(O544,BulletType!A$1:F$35,5)</f>
        <v>20</v>
      </c>
      <c r="M544">
        <f>VLOOKUP(O544,BulletType!A$1:F$35,6)</f>
        <v>10</v>
      </c>
      <c r="N544" s="3" t="str">
        <f>VLOOKUP(P544,BulletColor!A$2:B567,2)</f>
        <v>0.25,1,1</v>
      </c>
      <c r="O544">
        <v>20</v>
      </c>
      <c r="P544" s="2">
        <v>7</v>
      </c>
      <c r="Q544" s="2">
        <f t="shared" si="33"/>
        <v>0</v>
      </c>
    </row>
    <row r="545" spans="1:17" x14ac:dyDescent="0.2">
      <c r="A545" s="1">
        <f t="shared" si="35"/>
        <v>120071</v>
      </c>
      <c r="B545" s="3" t="str">
        <f>VLOOKUP(O545,BulletType!A$1:F$35,2)&amp;VLOOKUP(P545,BulletColor!A$1:C$25,3)</f>
        <v>心弹深青</v>
      </c>
      <c r="C545" s="3" t="str">
        <f t="shared" si="36"/>
        <v>Bullet120070</v>
      </c>
      <c r="D545" s="2">
        <f>VLOOKUP(O545,BulletType!A$2:N593,9)</f>
        <v>0</v>
      </c>
      <c r="E545" s="2">
        <f>VLOOKUP(O545,BulletType!A$2:N593,10)</f>
        <v>0</v>
      </c>
      <c r="F545" s="3" t="str">
        <f>CONCATENATE(VLOOKUP(O545,BulletType!A$2:I$35,8),VLOOKUP(P545,BulletColor!A$2:D$16,4))</f>
        <v>Bullet200070</v>
      </c>
      <c r="G545" s="3" t="str">
        <f>VLOOKUP(O545,BulletType!A$1:G$35,7)</f>
        <v>4,1</v>
      </c>
      <c r="H545" s="2">
        <f t="shared" si="34"/>
        <v>1</v>
      </c>
      <c r="I545">
        <f>VLOOKUP(O545,BulletType!A$1:F$35,3)</f>
        <v>1</v>
      </c>
      <c r="J545">
        <f>VLOOKUP(O545,BulletType!A$1:F$35,4)</f>
        <v>0</v>
      </c>
      <c r="K545">
        <f>VLOOKUP(O545,BulletType!A$1:F$35,5)</f>
        <v>20</v>
      </c>
      <c r="L545">
        <f>VLOOKUP(O545,BulletType!A$1:F$35,5)</f>
        <v>20</v>
      </c>
      <c r="M545">
        <f>VLOOKUP(O545,BulletType!A$1:F$35,6)</f>
        <v>10</v>
      </c>
      <c r="N545" s="3" t="str">
        <f>VLOOKUP(P545,BulletColor!A$2:B568,2)</f>
        <v>0.25,1,1</v>
      </c>
      <c r="O545">
        <v>20</v>
      </c>
      <c r="P545" s="2">
        <v>7</v>
      </c>
      <c r="Q545" s="2">
        <f t="shared" si="33"/>
        <v>1</v>
      </c>
    </row>
    <row r="546" spans="1:17" x14ac:dyDescent="0.2">
      <c r="A546" s="1">
        <f t="shared" si="35"/>
        <v>120080</v>
      </c>
      <c r="B546" s="3" t="str">
        <f>VLOOKUP(O546,BulletType!A$1:F$35,2)&amp;VLOOKUP(P546,BulletColor!A$1:C$25,3)</f>
        <v>心弹青</v>
      </c>
      <c r="C546" s="3" t="str">
        <f t="shared" si="36"/>
        <v>Bullet120080</v>
      </c>
      <c r="D546" s="2">
        <f>VLOOKUP(O546,BulletType!A$2:N594,9)</f>
        <v>0</v>
      </c>
      <c r="E546" s="2">
        <f>VLOOKUP(O546,BulletType!A$2:N594,10)</f>
        <v>0</v>
      </c>
      <c r="F546" s="3" t="str">
        <f>CONCATENATE(VLOOKUP(O546,BulletType!A$2:I$35,8),VLOOKUP(P546,BulletColor!A$2:D$16,4))</f>
        <v>Bullet200070</v>
      </c>
      <c r="G546" s="3" t="str">
        <f>VLOOKUP(O546,BulletType!A$1:G$35,7)</f>
        <v>4,1</v>
      </c>
      <c r="H546" s="2">
        <f t="shared" si="34"/>
        <v>0</v>
      </c>
      <c r="I546">
        <f>VLOOKUP(O546,BulletType!A$1:F$35,3)</f>
        <v>1</v>
      </c>
      <c r="J546">
        <f>VLOOKUP(O546,BulletType!A$1:F$35,4)</f>
        <v>0</v>
      </c>
      <c r="K546">
        <f>VLOOKUP(O546,BulletType!A$1:F$35,5)</f>
        <v>20</v>
      </c>
      <c r="L546">
        <f>VLOOKUP(O546,BulletType!A$1:F$35,5)</f>
        <v>20</v>
      </c>
      <c r="M546">
        <f>VLOOKUP(O546,BulletType!A$1:F$35,6)</f>
        <v>10</v>
      </c>
      <c r="N546" s="3" t="str">
        <f>VLOOKUP(P546,BulletColor!A$2:B569,2)</f>
        <v>0.25,1,1</v>
      </c>
      <c r="O546">
        <v>20</v>
      </c>
      <c r="P546" s="2">
        <v>8</v>
      </c>
      <c r="Q546" s="2">
        <f t="shared" si="33"/>
        <v>0</v>
      </c>
    </row>
    <row r="547" spans="1:17" x14ac:dyDescent="0.2">
      <c r="A547" s="1">
        <f t="shared" si="35"/>
        <v>120081</v>
      </c>
      <c r="B547" s="3" t="str">
        <f>VLOOKUP(O547,BulletType!A$1:F$35,2)&amp;VLOOKUP(P547,BulletColor!A$1:C$25,3)</f>
        <v>心弹青</v>
      </c>
      <c r="C547" s="3" t="str">
        <f t="shared" si="36"/>
        <v>Bullet120080</v>
      </c>
      <c r="D547" s="2">
        <f>VLOOKUP(O547,BulletType!A$2:N595,9)</f>
        <v>0</v>
      </c>
      <c r="E547" s="2">
        <f>VLOOKUP(O547,BulletType!A$2:N595,10)</f>
        <v>0</v>
      </c>
      <c r="F547" s="3" t="str">
        <f>CONCATENATE(VLOOKUP(O547,BulletType!A$2:I$35,8),VLOOKUP(P547,BulletColor!A$2:D$16,4))</f>
        <v>Bullet200070</v>
      </c>
      <c r="G547" s="3" t="str">
        <f>VLOOKUP(O547,BulletType!A$1:G$35,7)</f>
        <v>4,1</v>
      </c>
      <c r="H547" s="2">
        <f t="shared" si="34"/>
        <v>1</v>
      </c>
      <c r="I547">
        <f>VLOOKUP(O547,BulletType!A$1:F$35,3)</f>
        <v>1</v>
      </c>
      <c r="J547">
        <f>VLOOKUP(O547,BulletType!A$1:F$35,4)</f>
        <v>0</v>
      </c>
      <c r="K547">
        <f>VLOOKUP(O547,BulletType!A$1:F$35,5)</f>
        <v>20</v>
      </c>
      <c r="L547">
        <f>VLOOKUP(O547,BulletType!A$1:F$35,5)</f>
        <v>20</v>
      </c>
      <c r="M547">
        <f>VLOOKUP(O547,BulletType!A$1:F$35,6)</f>
        <v>10</v>
      </c>
      <c r="N547" s="3" t="str">
        <f>VLOOKUP(P547,BulletColor!A$2:B570,2)</f>
        <v>0.25,1,1</v>
      </c>
      <c r="O547">
        <v>20</v>
      </c>
      <c r="P547" s="2">
        <v>8</v>
      </c>
      <c r="Q547" s="2">
        <f t="shared" si="33"/>
        <v>1</v>
      </c>
    </row>
    <row r="548" spans="1:17" x14ac:dyDescent="0.2">
      <c r="A548" s="1">
        <f t="shared" si="35"/>
        <v>120090</v>
      </c>
      <c r="B548" s="3" t="str">
        <f>VLOOKUP(O548,BulletType!A$1:F$35,2)&amp;VLOOKUP(P548,BulletColor!A$1:C$25,3)</f>
        <v>心弹深绿</v>
      </c>
      <c r="C548" s="3" t="str">
        <f t="shared" si="36"/>
        <v>Bullet120090</v>
      </c>
      <c r="D548" s="2">
        <f>VLOOKUP(O548,BulletType!A$2:N596,9)</f>
        <v>0</v>
      </c>
      <c r="E548" s="2">
        <f>VLOOKUP(O548,BulletType!A$2:N596,10)</f>
        <v>0</v>
      </c>
      <c r="F548" s="3" t="str">
        <f>CONCATENATE(VLOOKUP(O548,BulletType!A$2:I$35,8),VLOOKUP(P548,BulletColor!A$2:D$16,4))</f>
        <v>Bullet200090</v>
      </c>
      <c r="G548" s="3" t="str">
        <f>VLOOKUP(O548,BulletType!A$1:G$35,7)</f>
        <v>4,1</v>
      </c>
      <c r="H548" s="2">
        <f t="shared" si="34"/>
        <v>0</v>
      </c>
      <c r="I548">
        <f>VLOOKUP(O548,BulletType!A$1:F$35,3)</f>
        <v>1</v>
      </c>
      <c r="J548">
        <f>VLOOKUP(O548,BulletType!A$1:F$35,4)</f>
        <v>0</v>
      </c>
      <c r="K548">
        <f>VLOOKUP(O548,BulletType!A$1:F$35,5)</f>
        <v>20</v>
      </c>
      <c r="L548">
        <f>VLOOKUP(O548,BulletType!A$1:F$35,5)</f>
        <v>20</v>
      </c>
      <c r="M548">
        <f>VLOOKUP(O548,BulletType!A$1:F$35,6)</f>
        <v>10</v>
      </c>
      <c r="N548" s="3" t="str">
        <f>VLOOKUP(P548,BulletColor!A$2:B571,2)</f>
        <v>0.36,0.78,1</v>
      </c>
      <c r="O548">
        <v>20</v>
      </c>
      <c r="P548" s="2">
        <v>9</v>
      </c>
      <c r="Q548" s="2">
        <f t="shared" si="33"/>
        <v>0</v>
      </c>
    </row>
    <row r="549" spans="1:17" x14ac:dyDescent="0.2">
      <c r="A549" s="1">
        <f t="shared" si="35"/>
        <v>120091</v>
      </c>
      <c r="B549" s="3" t="str">
        <f>VLOOKUP(O549,BulletType!A$1:F$35,2)&amp;VLOOKUP(P549,BulletColor!A$1:C$25,3)</f>
        <v>心弹深绿</v>
      </c>
      <c r="C549" s="3" t="str">
        <f t="shared" si="36"/>
        <v>Bullet120090</v>
      </c>
      <c r="D549" s="2">
        <f>VLOOKUP(O549,BulletType!A$2:N597,9)</f>
        <v>0</v>
      </c>
      <c r="E549" s="2">
        <f>VLOOKUP(O549,BulletType!A$2:N597,10)</f>
        <v>0</v>
      </c>
      <c r="F549" s="3" t="str">
        <f>CONCATENATE(VLOOKUP(O549,BulletType!A$2:I$35,8),VLOOKUP(P549,BulletColor!A$2:D$16,4))</f>
        <v>Bullet200090</v>
      </c>
      <c r="G549" s="3" t="str">
        <f>VLOOKUP(O549,BulletType!A$1:G$35,7)</f>
        <v>4,1</v>
      </c>
      <c r="H549" s="2">
        <f t="shared" si="34"/>
        <v>1</v>
      </c>
      <c r="I549">
        <f>VLOOKUP(O549,BulletType!A$1:F$35,3)</f>
        <v>1</v>
      </c>
      <c r="J549">
        <f>VLOOKUP(O549,BulletType!A$1:F$35,4)</f>
        <v>0</v>
      </c>
      <c r="K549">
        <f>VLOOKUP(O549,BulletType!A$1:F$35,5)</f>
        <v>20</v>
      </c>
      <c r="L549">
        <f>VLOOKUP(O549,BulletType!A$1:F$35,5)</f>
        <v>20</v>
      </c>
      <c r="M549">
        <f>VLOOKUP(O549,BulletType!A$1:F$35,6)</f>
        <v>10</v>
      </c>
      <c r="N549" s="3" t="str">
        <f>VLOOKUP(P549,BulletColor!A$2:B572,2)</f>
        <v>0.36,0.78,1</v>
      </c>
      <c r="O549">
        <v>20</v>
      </c>
      <c r="P549" s="2">
        <v>9</v>
      </c>
      <c r="Q549" s="2">
        <f t="shared" si="33"/>
        <v>1</v>
      </c>
    </row>
    <row r="550" spans="1:17" x14ac:dyDescent="0.2">
      <c r="A550" s="1">
        <f t="shared" si="35"/>
        <v>120100</v>
      </c>
      <c r="B550" s="3" t="str">
        <f>VLOOKUP(O550,BulletType!A$1:F$35,2)&amp;VLOOKUP(P550,BulletColor!A$1:C$25,3)</f>
        <v>心弹绿</v>
      </c>
      <c r="C550" s="3" t="str">
        <f t="shared" si="36"/>
        <v>Bullet120100</v>
      </c>
      <c r="D550" s="2">
        <f>VLOOKUP(O550,BulletType!A$2:N598,9)</f>
        <v>0</v>
      </c>
      <c r="E550" s="2">
        <f>VLOOKUP(O550,BulletType!A$2:N598,10)</f>
        <v>0</v>
      </c>
      <c r="F550" s="3" t="str">
        <f>CONCATENATE(VLOOKUP(O550,BulletType!A$2:I$35,8),VLOOKUP(P550,BulletColor!A$2:D$16,4))</f>
        <v>Bullet200090</v>
      </c>
      <c r="G550" s="3" t="str">
        <f>VLOOKUP(O550,BulletType!A$1:G$35,7)</f>
        <v>4,1</v>
      </c>
      <c r="H550" s="2">
        <f t="shared" si="34"/>
        <v>0</v>
      </c>
      <c r="I550">
        <f>VLOOKUP(O550,BulletType!A$1:F$35,3)</f>
        <v>1</v>
      </c>
      <c r="J550">
        <f>VLOOKUP(O550,BulletType!A$1:F$35,4)</f>
        <v>0</v>
      </c>
      <c r="K550">
        <f>VLOOKUP(O550,BulletType!A$1:F$35,5)</f>
        <v>20</v>
      </c>
      <c r="L550">
        <f>VLOOKUP(O550,BulletType!A$1:F$35,5)</f>
        <v>20</v>
      </c>
      <c r="M550">
        <f>VLOOKUP(O550,BulletType!A$1:F$35,6)</f>
        <v>10</v>
      </c>
      <c r="N550" s="3" t="str">
        <f>VLOOKUP(P550,BulletColor!A$2:B573,2)</f>
        <v>0.36,0.78,1</v>
      </c>
      <c r="O550">
        <v>20</v>
      </c>
      <c r="P550" s="2">
        <v>10</v>
      </c>
      <c r="Q550" s="2">
        <f t="shared" si="33"/>
        <v>0</v>
      </c>
    </row>
    <row r="551" spans="1:17" x14ac:dyDescent="0.2">
      <c r="A551" s="1">
        <f t="shared" si="35"/>
        <v>120101</v>
      </c>
      <c r="B551" s="3" t="str">
        <f>VLOOKUP(O551,BulletType!A$1:F$35,2)&amp;VLOOKUP(P551,BulletColor!A$1:C$25,3)</f>
        <v>心弹绿</v>
      </c>
      <c r="C551" s="3" t="str">
        <f t="shared" si="36"/>
        <v>Bullet120100</v>
      </c>
      <c r="D551" s="2">
        <f>VLOOKUP(O551,BulletType!A$2:N599,9)</f>
        <v>0</v>
      </c>
      <c r="E551" s="2">
        <f>VLOOKUP(O551,BulletType!A$2:N599,10)</f>
        <v>0</v>
      </c>
      <c r="F551" s="3" t="str">
        <f>CONCATENATE(VLOOKUP(O551,BulletType!A$2:I$35,8),VLOOKUP(P551,BulletColor!A$2:D$16,4))</f>
        <v>Bullet200090</v>
      </c>
      <c r="G551" s="3" t="str">
        <f>VLOOKUP(O551,BulletType!A$1:G$35,7)</f>
        <v>4,1</v>
      </c>
      <c r="H551" s="2">
        <f t="shared" si="34"/>
        <v>1</v>
      </c>
      <c r="I551">
        <f>VLOOKUP(O551,BulletType!A$1:F$35,3)</f>
        <v>1</v>
      </c>
      <c r="J551">
        <f>VLOOKUP(O551,BulletType!A$1:F$35,4)</f>
        <v>0</v>
      </c>
      <c r="K551">
        <f>VLOOKUP(O551,BulletType!A$1:F$35,5)</f>
        <v>20</v>
      </c>
      <c r="L551">
        <f>VLOOKUP(O551,BulletType!A$1:F$35,5)</f>
        <v>20</v>
      </c>
      <c r="M551">
        <f>VLOOKUP(O551,BulletType!A$1:F$35,6)</f>
        <v>10</v>
      </c>
      <c r="N551" s="3" t="str">
        <f>VLOOKUP(P551,BulletColor!A$2:B574,2)</f>
        <v>0.36,0.78,1</v>
      </c>
      <c r="O551">
        <v>20</v>
      </c>
      <c r="P551" s="2">
        <v>10</v>
      </c>
      <c r="Q551" s="2">
        <f t="shared" si="33"/>
        <v>1</v>
      </c>
    </row>
    <row r="552" spans="1:17" x14ac:dyDescent="0.2">
      <c r="A552" s="1">
        <f t="shared" si="35"/>
        <v>120110</v>
      </c>
      <c r="B552" s="3" t="str">
        <f>VLOOKUP(O552,BulletType!A$1:F$35,2)&amp;VLOOKUP(P552,BulletColor!A$1:C$25,3)</f>
        <v>心弹黄绿</v>
      </c>
      <c r="C552" s="3" t="str">
        <f t="shared" si="36"/>
        <v>Bullet120110</v>
      </c>
      <c r="D552" s="2">
        <f>VLOOKUP(O552,BulletType!A$2:N600,9)</f>
        <v>0</v>
      </c>
      <c r="E552" s="2">
        <f>VLOOKUP(O552,BulletType!A$2:N600,10)</f>
        <v>0</v>
      </c>
      <c r="F552" s="3" t="str">
        <f>CONCATENATE(VLOOKUP(O552,BulletType!A$2:I$35,8),VLOOKUP(P552,BulletColor!A$2:D$16,4))</f>
        <v>Bullet200090</v>
      </c>
      <c r="G552" s="3" t="str">
        <f>VLOOKUP(O552,BulletType!A$1:G$35,7)</f>
        <v>4,1</v>
      </c>
      <c r="H552" s="2">
        <f t="shared" si="34"/>
        <v>0</v>
      </c>
      <c r="I552">
        <f>VLOOKUP(O552,BulletType!A$1:F$35,3)</f>
        <v>1</v>
      </c>
      <c r="J552">
        <f>VLOOKUP(O552,BulletType!A$1:F$35,4)</f>
        <v>0</v>
      </c>
      <c r="K552">
        <f>VLOOKUP(O552,BulletType!A$1:F$35,5)</f>
        <v>20</v>
      </c>
      <c r="L552">
        <f>VLOOKUP(O552,BulletType!A$1:F$35,5)</f>
        <v>20</v>
      </c>
      <c r="M552">
        <f>VLOOKUP(O552,BulletType!A$1:F$35,6)</f>
        <v>10</v>
      </c>
      <c r="N552" s="3" t="str">
        <f>VLOOKUP(P552,BulletColor!A$2:B575,2)</f>
        <v>0.9,1,0.4</v>
      </c>
      <c r="O552">
        <v>20</v>
      </c>
      <c r="P552" s="2">
        <v>11</v>
      </c>
      <c r="Q552" s="2">
        <f t="shared" si="33"/>
        <v>0</v>
      </c>
    </row>
    <row r="553" spans="1:17" x14ac:dyDescent="0.2">
      <c r="A553" s="1">
        <f t="shared" si="35"/>
        <v>120111</v>
      </c>
      <c r="B553" s="3" t="str">
        <f>VLOOKUP(O553,BulletType!A$1:F$35,2)&amp;VLOOKUP(P553,BulletColor!A$1:C$25,3)</f>
        <v>心弹黄绿</v>
      </c>
      <c r="C553" s="3" t="str">
        <f t="shared" si="36"/>
        <v>Bullet120110</v>
      </c>
      <c r="D553" s="2">
        <f>VLOOKUP(O553,BulletType!A$2:N601,9)</f>
        <v>0</v>
      </c>
      <c r="E553" s="2">
        <f>VLOOKUP(O553,BulletType!A$2:N601,10)</f>
        <v>0</v>
      </c>
      <c r="F553" s="3" t="str">
        <f>CONCATENATE(VLOOKUP(O553,BulletType!A$2:I$35,8),VLOOKUP(P553,BulletColor!A$2:D$16,4))</f>
        <v>Bullet200090</v>
      </c>
      <c r="G553" s="3" t="str">
        <f>VLOOKUP(O553,BulletType!A$1:G$35,7)</f>
        <v>4,1</v>
      </c>
      <c r="H553" s="2">
        <f t="shared" si="34"/>
        <v>1</v>
      </c>
      <c r="I553">
        <f>VLOOKUP(O553,BulletType!A$1:F$35,3)</f>
        <v>1</v>
      </c>
      <c r="J553">
        <f>VLOOKUP(O553,BulletType!A$1:F$35,4)</f>
        <v>0</v>
      </c>
      <c r="K553">
        <f>VLOOKUP(O553,BulletType!A$1:F$35,5)</f>
        <v>20</v>
      </c>
      <c r="L553">
        <f>VLOOKUP(O553,BulletType!A$1:F$35,5)</f>
        <v>20</v>
      </c>
      <c r="M553">
        <f>VLOOKUP(O553,BulletType!A$1:F$35,6)</f>
        <v>10</v>
      </c>
      <c r="N553" s="3" t="str">
        <f>VLOOKUP(P553,BulletColor!A$2:B576,2)</f>
        <v>0.9,1,0.4</v>
      </c>
      <c r="O553">
        <v>20</v>
      </c>
      <c r="P553" s="2">
        <v>11</v>
      </c>
      <c r="Q553" s="2">
        <f t="shared" si="33"/>
        <v>1</v>
      </c>
    </row>
    <row r="554" spans="1:17" x14ac:dyDescent="0.2">
      <c r="A554" s="1">
        <f t="shared" si="35"/>
        <v>120120</v>
      </c>
      <c r="B554" s="3" t="str">
        <f>VLOOKUP(O554,BulletType!A$1:F$35,2)&amp;VLOOKUP(P554,BulletColor!A$1:C$25,3)</f>
        <v>心弹深黄</v>
      </c>
      <c r="C554" s="3" t="str">
        <f t="shared" si="36"/>
        <v>Bullet120120</v>
      </c>
      <c r="D554" s="2">
        <f>VLOOKUP(O554,BulletType!A$2:N602,9)</f>
        <v>0</v>
      </c>
      <c r="E554" s="2">
        <f>VLOOKUP(O554,BulletType!A$2:N602,10)</f>
        <v>0</v>
      </c>
      <c r="F554" s="3" t="str">
        <f>CONCATENATE(VLOOKUP(O554,BulletType!A$2:I$35,8),VLOOKUP(P554,BulletColor!A$2:D$16,4))</f>
        <v>Bullet200090</v>
      </c>
      <c r="G554" s="3" t="str">
        <f>VLOOKUP(O554,BulletType!A$1:G$35,7)</f>
        <v>4,1</v>
      </c>
      <c r="H554" s="2">
        <f t="shared" si="34"/>
        <v>0</v>
      </c>
      <c r="I554">
        <f>VLOOKUP(O554,BulletType!A$1:F$35,3)</f>
        <v>1</v>
      </c>
      <c r="J554">
        <f>VLOOKUP(O554,BulletType!A$1:F$35,4)</f>
        <v>0</v>
      </c>
      <c r="K554">
        <f>VLOOKUP(O554,BulletType!A$1:F$35,5)</f>
        <v>20</v>
      </c>
      <c r="L554">
        <f>VLOOKUP(O554,BulletType!A$1:F$35,5)</f>
        <v>20</v>
      </c>
      <c r="M554">
        <f>VLOOKUP(O554,BulletType!A$1:F$35,6)</f>
        <v>10</v>
      </c>
      <c r="N554" s="3" t="str">
        <f>VLOOKUP(P554,BulletColor!A$2:B577,2)</f>
        <v>0.9,1,0.4</v>
      </c>
      <c r="O554">
        <v>20</v>
      </c>
      <c r="P554" s="2">
        <v>12</v>
      </c>
      <c r="Q554" s="2">
        <f t="shared" si="33"/>
        <v>0</v>
      </c>
    </row>
    <row r="555" spans="1:17" x14ac:dyDescent="0.2">
      <c r="A555" s="1">
        <f t="shared" si="35"/>
        <v>120121</v>
      </c>
      <c r="B555" s="3" t="str">
        <f>VLOOKUP(O555,BulletType!A$1:F$35,2)&amp;VLOOKUP(P555,BulletColor!A$1:C$25,3)</f>
        <v>心弹深黄</v>
      </c>
      <c r="C555" s="3" t="str">
        <f t="shared" si="36"/>
        <v>Bullet120120</v>
      </c>
      <c r="D555" s="2">
        <f>VLOOKUP(O555,BulletType!A$2:N603,9)</f>
        <v>0</v>
      </c>
      <c r="E555" s="2">
        <f>VLOOKUP(O555,BulletType!A$2:N603,10)</f>
        <v>0</v>
      </c>
      <c r="F555" s="3" t="str">
        <f>CONCATENATE(VLOOKUP(O555,BulletType!A$2:I$35,8),VLOOKUP(P555,BulletColor!A$2:D$16,4))</f>
        <v>Bullet200090</v>
      </c>
      <c r="G555" s="3" t="str">
        <f>VLOOKUP(O555,BulletType!A$1:G$35,7)</f>
        <v>4,1</v>
      </c>
      <c r="H555" s="2">
        <f t="shared" si="34"/>
        <v>1</v>
      </c>
      <c r="I555">
        <f>VLOOKUP(O555,BulletType!A$1:F$35,3)</f>
        <v>1</v>
      </c>
      <c r="J555">
        <f>VLOOKUP(O555,BulletType!A$1:F$35,4)</f>
        <v>0</v>
      </c>
      <c r="K555">
        <f>VLOOKUP(O555,BulletType!A$1:F$35,5)</f>
        <v>20</v>
      </c>
      <c r="L555">
        <f>VLOOKUP(O555,BulletType!A$1:F$35,5)</f>
        <v>20</v>
      </c>
      <c r="M555">
        <f>VLOOKUP(O555,BulletType!A$1:F$35,6)</f>
        <v>10</v>
      </c>
      <c r="N555" s="3" t="str">
        <f>VLOOKUP(P555,BulletColor!A$2:B578,2)</f>
        <v>0.9,1,0.4</v>
      </c>
      <c r="O555">
        <v>20</v>
      </c>
      <c r="P555" s="2">
        <v>12</v>
      </c>
      <c r="Q555" s="2">
        <f t="shared" ref="Q555:Q618" si="37">MOD((ROW()-2),2)</f>
        <v>1</v>
      </c>
    </row>
    <row r="556" spans="1:17" x14ac:dyDescent="0.2">
      <c r="A556" s="1">
        <f t="shared" si="35"/>
        <v>120130</v>
      </c>
      <c r="B556" s="3" t="str">
        <f>VLOOKUP(O556,BulletType!A$1:F$35,2)&amp;VLOOKUP(P556,BulletColor!A$1:C$25,3)</f>
        <v>心弹浅黄</v>
      </c>
      <c r="C556" s="3" t="str">
        <f t="shared" si="36"/>
        <v>Bullet120130</v>
      </c>
      <c r="D556" s="2">
        <f>VLOOKUP(O556,BulletType!A$2:N604,9)</f>
        <v>0</v>
      </c>
      <c r="E556" s="2">
        <f>VLOOKUP(O556,BulletType!A$2:N604,10)</f>
        <v>0</v>
      </c>
      <c r="F556" s="3" t="str">
        <f>CONCATENATE(VLOOKUP(O556,BulletType!A$2:I$35,8),VLOOKUP(P556,BulletColor!A$2:D$16,4))</f>
        <v>Bullet200130</v>
      </c>
      <c r="G556" s="3" t="str">
        <f>VLOOKUP(O556,BulletType!A$1:G$35,7)</f>
        <v>4,1</v>
      </c>
      <c r="H556" s="2">
        <f t="shared" si="34"/>
        <v>0</v>
      </c>
      <c r="I556">
        <f>VLOOKUP(O556,BulletType!A$1:F$35,3)</f>
        <v>1</v>
      </c>
      <c r="J556">
        <f>VLOOKUP(O556,BulletType!A$1:F$35,4)</f>
        <v>0</v>
      </c>
      <c r="K556">
        <f>VLOOKUP(O556,BulletType!A$1:F$35,5)</f>
        <v>20</v>
      </c>
      <c r="L556">
        <f>VLOOKUP(O556,BulletType!A$1:F$35,5)</f>
        <v>20</v>
      </c>
      <c r="M556">
        <f>VLOOKUP(O556,BulletType!A$1:F$35,6)</f>
        <v>10</v>
      </c>
      <c r="N556" s="3" t="str">
        <f>VLOOKUP(P556,BulletColor!A$2:B579,2)</f>
        <v>0.9,1,0.4</v>
      </c>
      <c r="O556">
        <v>20</v>
      </c>
      <c r="P556" s="2">
        <v>13</v>
      </c>
      <c r="Q556" s="2">
        <f t="shared" si="37"/>
        <v>0</v>
      </c>
    </row>
    <row r="557" spans="1:17" x14ac:dyDescent="0.2">
      <c r="A557" s="1">
        <f t="shared" si="35"/>
        <v>120131</v>
      </c>
      <c r="B557" s="3" t="str">
        <f>VLOOKUP(O557,BulletType!A$1:F$35,2)&amp;VLOOKUP(P557,BulletColor!A$1:C$25,3)</f>
        <v>心弹浅黄</v>
      </c>
      <c r="C557" s="3" t="str">
        <f t="shared" si="36"/>
        <v>Bullet120130</v>
      </c>
      <c r="D557" s="2">
        <f>VLOOKUP(O557,BulletType!A$2:N605,9)</f>
        <v>0</v>
      </c>
      <c r="E557" s="2">
        <f>VLOOKUP(O557,BulletType!A$2:N605,10)</f>
        <v>0</v>
      </c>
      <c r="F557" s="3" t="str">
        <f>CONCATENATE(VLOOKUP(O557,BulletType!A$2:I$35,8),VLOOKUP(P557,BulletColor!A$2:D$16,4))</f>
        <v>Bullet200130</v>
      </c>
      <c r="G557" s="3" t="str">
        <f>VLOOKUP(O557,BulletType!A$1:G$35,7)</f>
        <v>4,1</v>
      </c>
      <c r="H557" s="2">
        <f t="shared" si="34"/>
        <v>1</v>
      </c>
      <c r="I557">
        <f>VLOOKUP(O557,BulletType!A$1:F$35,3)</f>
        <v>1</v>
      </c>
      <c r="J557">
        <f>VLOOKUP(O557,BulletType!A$1:F$35,4)</f>
        <v>0</v>
      </c>
      <c r="K557">
        <f>VLOOKUP(O557,BulletType!A$1:F$35,5)</f>
        <v>20</v>
      </c>
      <c r="L557">
        <f>VLOOKUP(O557,BulletType!A$1:F$35,5)</f>
        <v>20</v>
      </c>
      <c r="M557">
        <f>VLOOKUP(O557,BulletType!A$1:F$35,6)</f>
        <v>10</v>
      </c>
      <c r="N557" s="3" t="str">
        <f>VLOOKUP(P557,BulletColor!A$2:B580,2)</f>
        <v>0.9,1,0.4</v>
      </c>
      <c r="O557">
        <v>20</v>
      </c>
      <c r="P557" s="2">
        <v>13</v>
      </c>
      <c r="Q557" s="2">
        <f t="shared" si="37"/>
        <v>1</v>
      </c>
    </row>
    <row r="558" spans="1:17" x14ac:dyDescent="0.2">
      <c r="A558" s="1">
        <f t="shared" si="35"/>
        <v>120140</v>
      </c>
      <c r="B558" s="3" t="str">
        <f>VLOOKUP(O558,BulletType!A$1:F$35,2)&amp;VLOOKUP(P558,BulletColor!A$1:C$25,3)</f>
        <v>心弹棕黄</v>
      </c>
      <c r="C558" s="3" t="str">
        <f t="shared" si="36"/>
        <v>Bullet120140</v>
      </c>
      <c r="D558" s="2">
        <f>VLOOKUP(O558,BulletType!A$2:N606,9)</f>
        <v>0</v>
      </c>
      <c r="E558" s="2">
        <f>VLOOKUP(O558,BulletType!A$2:N606,10)</f>
        <v>0</v>
      </c>
      <c r="F558" s="3" t="str">
        <f>CONCATENATE(VLOOKUP(O558,BulletType!A$2:I$35,8),VLOOKUP(P558,BulletColor!A$2:D$16,4))</f>
        <v>Bullet200130</v>
      </c>
      <c r="G558" s="3" t="str">
        <f>VLOOKUP(O558,BulletType!A$1:G$35,7)</f>
        <v>4,1</v>
      </c>
      <c r="H558" s="2">
        <f t="shared" si="34"/>
        <v>0</v>
      </c>
      <c r="I558">
        <f>VLOOKUP(O558,BulletType!A$1:F$35,3)</f>
        <v>1</v>
      </c>
      <c r="J558">
        <f>VLOOKUP(O558,BulletType!A$1:F$35,4)</f>
        <v>0</v>
      </c>
      <c r="K558">
        <f>VLOOKUP(O558,BulletType!A$1:F$35,5)</f>
        <v>20</v>
      </c>
      <c r="L558">
        <f>VLOOKUP(O558,BulletType!A$1:F$35,5)</f>
        <v>20</v>
      </c>
      <c r="M558">
        <f>VLOOKUP(O558,BulletType!A$1:F$35,6)</f>
        <v>10</v>
      </c>
      <c r="N558" s="3" t="str">
        <f>VLOOKUP(P558,BulletColor!A$2:B581,2)</f>
        <v>0.9,1,0.4</v>
      </c>
      <c r="O558">
        <v>20</v>
      </c>
      <c r="P558" s="2">
        <v>14</v>
      </c>
      <c r="Q558" s="2">
        <f t="shared" si="37"/>
        <v>0</v>
      </c>
    </row>
    <row r="559" spans="1:17" x14ac:dyDescent="0.2">
      <c r="A559" s="1">
        <f t="shared" si="35"/>
        <v>120141</v>
      </c>
      <c r="B559" s="3" t="str">
        <f>VLOOKUP(O559,BulletType!A$1:F$35,2)&amp;VLOOKUP(P559,BulletColor!A$1:C$25,3)</f>
        <v>心弹棕黄</v>
      </c>
      <c r="C559" s="3" t="str">
        <f t="shared" si="36"/>
        <v>Bullet120140</v>
      </c>
      <c r="D559" s="2">
        <f>VLOOKUP(O559,BulletType!A$2:N607,9)</f>
        <v>0</v>
      </c>
      <c r="E559" s="2">
        <f>VLOOKUP(O559,BulletType!A$2:N607,10)</f>
        <v>0</v>
      </c>
      <c r="F559" s="3" t="str">
        <f>CONCATENATE(VLOOKUP(O559,BulletType!A$2:I$35,8),VLOOKUP(P559,BulletColor!A$2:D$16,4))</f>
        <v>Bullet200130</v>
      </c>
      <c r="G559" s="3" t="str">
        <f>VLOOKUP(O559,BulletType!A$1:G$35,7)</f>
        <v>4,1</v>
      </c>
      <c r="H559" s="2">
        <f t="shared" si="34"/>
        <v>1</v>
      </c>
      <c r="I559">
        <f>VLOOKUP(O559,BulletType!A$1:F$35,3)</f>
        <v>1</v>
      </c>
      <c r="J559">
        <f>VLOOKUP(O559,BulletType!A$1:F$35,4)</f>
        <v>0</v>
      </c>
      <c r="K559">
        <f>VLOOKUP(O559,BulletType!A$1:F$35,5)</f>
        <v>20</v>
      </c>
      <c r="L559">
        <f>VLOOKUP(O559,BulletType!A$1:F$35,5)</f>
        <v>20</v>
      </c>
      <c r="M559">
        <f>VLOOKUP(O559,BulletType!A$1:F$35,6)</f>
        <v>10</v>
      </c>
      <c r="N559" s="3" t="str">
        <f>VLOOKUP(P559,BulletColor!A$2:B582,2)</f>
        <v>0.9,1,0.4</v>
      </c>
      <c r="O559">
        <v>20</v>
      </c>
      <c r="P559" s="2">
        <v>14</v>
      </c>
      <c r="Q559" s="2">
        <f t="shared" si="37"/>
        <v>1</v>
      </c>
    </row>
    <row r="560" spans="1:17" x14ac:dyDescent="0.2">
      <c r="A560" s="1">
        <f t="shared" si="35"/>
        <v>120150</v>
      </c>
      <c r="B560" s="3" t="str">
        <f>VLOOKUP(O560,BulletType!A$1:F$35,2)&amp;VLOOKUP(P560,BulletColor!A$1:C$25,3)</f>
        <v>心弹白</v>
      </c>
      <c r="C560" s="3" t="str">
        <f t="shared" si="36"/>
        <v>Bullet120150</v>
      </c>
      <c r="D560" s="2">
        <f>VLOOKUP(O560,BulletType!A$2:N608,9)</f>
        <v>0</v>
      </c>
      <c r="E560" s="2">
        <f>VLOOKUP(O560,BulletType!A$2:N608,10)</f>
        <v>0</v>
      </c>
      <c r="F560" s="3" t="str">
        <f>CONCATENATE(VLOOKUP(O560,BulletType!A$2:I$35,8),VLOOKUP(P560,BulletColor!A$2:D$16,4))</f>
        <v>Bullet200130</v>
      </c>
      <c r="G560" s="3" t="str">
        <f>VLOOKUP(O560,BulletType!A$1:G$35,7)</f>
        <v>4,1</v>
      </c>
      <c r="H560" s="2">
        <f t="shared" si="34"/>
        <v>0</v>
      </c>
      <c r="I560">
        <f>VLOOKUP(O560,BulletType!A$1:F$35,3)</f>
        <v>1</v>
      </c>
      <c r="J560">
        <f>VLOOKUP(O560,BulletType!A$1:F$35,4)</f>
        <v>0</v>
      </c>
      <c r="K560">
        <f>VLOOKUP(O560,BulletType!A$1:F$35,5)</f>
        <v>20</v>
      </c>
      <c r="L560">
        <f>VLOOKUP(O560,BulletType!A$1:F$35,5)</f>
        <v>20</v>
      </c>
      <c r="M560">
        <f>VLOOKUP(O560,BulletType!A$1:F$35,6)</f>
        <v>10</v>
      </c>
      <c r="N560" s="3" t="str">
        <f>VLOOKUP(P560,BulletColor!A$2:B583,2)</f>
        <v>0.8,0.8,0.8</v>
      </c>
      <c r="O560">
        <v>20</v>
      </c>
      <c r="P560" s="2">
        <v>15</v>
      </c>
      <c r="Q560" s="2">
        <f t="shared" si="37"/>
        <v>0</v>
      </c>
    </row>
    <row r="561" spans="1:17" x14ac:dyDescent="0.2">
      <c r="A561" s="1">
        <f t="shared" si="35"/>
        <v>120151</v>
      </c>
      <c r="B561" s="3" t="str">
        <f>VLOOKUP(O561,BulletType!A$1:F$35,2)&amp;VLOOKUP(P561,BulletColor!A$1:C$25,3)</f>
        <v>心弹白</v>
      </c>
      <c r="C561" s="3" t="str">
        <f t="shared" si="36"/>
        <v>Bullet120150</v>
      </c>
      <c r="D561" s="2">
        <f>VLOOKUP(O561,BulletType!A$2:N609,9)</f>
        <v>0</v>
      </c>
      <c r="E561" s="2">
        <f>VLOOKUP(O561,BulletType!A$2:N609,10)</f>
        <v>0</v>
      </c>
      <c r="F561" s="3" t="str">
        <f>CONCATENATE(VLOOKUP(O561,BulletType!A$2:I$35,8),VLOOKUP(P561,BulletColor!A$2:D$16,4))</f>
        <v>Bullet200130</v>
      </c>
      <c r="G561" s="3" t="str">
        <f>VLOOKUP(O561,BulletType!A$1:G$35,7)</f>
        <v>4,1</v>
      </c>
      <c r="H561" s="2">
        <f t="shared" si="34"/>
        <v>1</v>
      </c>
      <c r="I561">
        <f>VLOOKUP(O561,BulletType!A$1:F$35,3)</f>
        <v>1</v>
      </c>
      <c r="J561">
        <f>VLOOKUP(O561,BulletType!A$1:F$35,4)</f>
        <v>0</v>
      </c>
      <c r="K561">
        <f>VLOOKUP(O561,BulletType!A$1:F$35,5)</f>
        <v>20</v>
      </c>
      <c r="L561">
        <f>VLOOKUP(O561,BulletType!A$1:F$35,5)</f>
        <v>20</v>
      </c>
      <c r="M561">
        <f>VLOOKUP(O561,BulletType!A$1:F$35,6)</f>
        <v>10</v>
      </c>
      <c r="N561" s="3" t="str">
        <f>VLOOKUP(P561,BulletColor!A$2:B584,2)</f>
        <v>0.8,0.8,0.8</v>
      </c>
      <c r="O561">
        <v>20</v>
      </c>
      <c r="P561" s="2">
        <v>15</v>
      </c>
      <c r="Q561" s="2">
        <f t="shared" si="37"/>
        <v>1</v>
      </c>
    </row>
    <row r="562" spans="1:17" x14ac:dyDescent="0.2">
      <c r="A562" s="1">
        <f t="shared" si="35"/>
        <v>121000</v>
      </c>
      <c r="B562" s="3" t="str">
        <f>VLOOKUP(O562,BulletType!A$1:F$35,2)&amp;VLOOKUP(P562,BulletColor!A$1:C$25,3)</f>
        <v>滴弹 灰</v>
      </c>
      <c r="C562" s="3" t="str">
        <f t="shared" si="36"/>
        <v>Bullet121000</v>
      </c>
      <c r="D562" s="2">
        <f>VLOOKUP(O562,BulletType!A$2:N610,9)</f>
        <v>0</v>
      </c>
      <c r="E562" s="2">
        <f>VLOOKUP(O562,BulletType!A$2:N610,10)</f>
        <v>0</v>
      </c>
      <c r="F562" s="3" t="str">
        <f>CONCATENATE(VLOOKUP(O562,BulletType!A$2:I$35,8),VLOOKUP(P562,BulletColor!A$2:D$16,4))</f>
        <v>Bullet200000</v>
      </c>
      <c r="G562" s="3" t="str">
        <f>VLOOKUP(O562,BulletType!A$1:G$35,7)</f>
        <v>1.6,0.406</v>
      </c>
      <c r="H562" s="2">
        <f t="shared" si="34"/>
        <v>0</v>
      </c>
      <c r="I562">
        <f>VLOOKUP(O562,BulletType!A$1:F$35,3)</f>
        <v>1</v>
      </c>
      <c r="J562">
        <f>VLOOKUP(O562,BulletType!A$1:F$35,4)</f>
        <v>0</v>
      </c>
      <c r="K562">
        <f>VLOOKUP(O562,BulletType!A$1:F$35,5)</f>
        <v>4.8</v>
      </c>
      <c r="L562">
        <f>VLOOKUP(O562,BulletType!A$1:F$35,5)</f>
        <v>4.8</v>
      </c>
      <c r="M562">
        <f>VLOOKUP(O562,BulletType!A$1:F$35,6)</f>
        <v>2.4</v>
      </c>
      <c r="N562" s="3" t="str">
        <f>VLOOKUP(P562,BulletColor!A$2:B585,2)</f>
        <v>0.5,0.5,0.5</v>
      </c>
      <c r="O562">
        <v>21</v>
      </c>
      <c r="P562" s="2">
        <v>0</v>
      </c>
      <c r="Q562" s="2">
        <f t="shared" si="37"/>
        <v>0</v>
      </c>
    </row>
    <row r="563" spans="1:17" x14ac:dyDescent="0.2">
      <c r="A563" s="1">
        <f t="shared" si="35"/>
        <v>121001</v>
      </c>
      <c r="B563" s="3" t="str">
        <f>VLOOKUP(O563,BulletType!A$1:F$35,2)&amp;VLOOKUP(P563,BulletColor!A$1:C$25,3)</f>
        <v>滴弹 灰</v>
      </c>
      <c r="C563" s="3" t="str">
        <f t="shared" si="36"/>
        <v>Bullet121000</v>
      </c>
      <c r="D563" s="2">
        <f>VLOOKUP(O563,BulletType!A$2:N611,9)</f>
        <v>0</v>
      </c>
      <c r="E563" s="2">
        <f>VLOOKUP(O563,BulletType!A$2:N611,10)</f>
        <v>0</v>
      </c>
      <c r="F563" s="3" t="str">
        <f>CONCATENATE(VLOOKUP(O563,BulletType!A$2:I$35,8),VLOOKUP(P563,BulletColor!A$2:D$16,4))</f>
        <v>Bullet200000</v>
      </c>
      <c r="G563" s="3" t="str">
        <f>VLOOKUP(O563,BulletType!A$1:G$35,7)</f>
        <v>1.6,0.406</v>
      </c>
      <c r="H563" s="2">
        <f t="shared" si="34"/>
        <v>1</v>
      </c>
      <c r="I563">
        <f>VLOOKUP(O563,BulletType!A$1:F$35,3)</f>
        <v>1</v>
      </c>
      <c r="J563">
        <f>VLOOKUP(O563,BulletType!A$1:F$35,4)</f>
        <v>0</v>
      </c>
      <c r="K563">
        <f>VLOOKUP(O563,BulletType!A$1:F$35,5)</f>
        <v>4.8</v>
      </c>
      <c r="L563">
        <f>VLOOKUP(O563,BulletType!A$1:F$35,5)</f>
        <v>4.8</v>
      </c>
      <c r="M563">
        <f>VLOOKUP(O563,BulletType!A$1:F$35,6)</f>
        <v>2.4</v>
      </c>
      <c r="N563" s="3" t="str">
        <f>VLOOKUP(P563,BulletColor!A$2:B586,2)</f>
        <v>0.5,0.5,0.5</v>
      </c>
      <c r="O563">
        <v>21</v>
      </c>
      <c r="P563" s="2">
        <v>0</v>
      </c>
      <c r="Q563" s="2">
        <f t="shared" si="37"/>
        <v>1</v>
      </c>
    </row>
    <row r="564" spans="1:17" x14ac:dyDescent="0.2">
      <c r="A564" s="1">
        <f t="shared" si="35"/>
        <v>121010</v>
      </c>
      <c r="B564" s="3" t="str">
        <f>VLOOKUP(O564,BulletType!A$1:F$35,2)&amp;VLOOKUP(P564,BulletColor!A$1:C$25,3)</f>
        <v>滴弹 深红</v>
      </c>
      <c r="C564" s="3" t="str">
        <f t="shared" si="36"/>
        <v>Bullet121010</v>
      </c>
      <c r="D564" s="2">
        <f>VLOOKUP(O564,BulletType!A$2:N612,9)</f>
        <v>0</v>
      </c>
      <c r="E564" s="2">
        <f>VLOOKUP(O564,BulletType!A$2:N612,10)</f>
        <v>0</v>
      </c>
      <c r="F564" s="3" t="str">
        <f>CONCATENATE(VLOOKUP(O564,BulletType!A$2:I$35,8),VLOOKUP(P564,BulletColor!A$2:D$16,4))</f>
        <v>Bullet200010</v>
      </c>
      <c r="G564" s="3" t="str">
        <f>VLOOKUP(O564,BulletType!A$1:G$35,7)</f>
        <v>1.6,0.406</v>
      </c>
      <c r="H564" s="2">
        <f t="shared" si="34"/>
        <v>0</v>
      </c>
      <c r="I564">
        <f>VLOOKUP(O564,BulletType!A$1:F$35,3)</f>
        <v>1</v>
      </c>
      <c r="J564">
        <f>VLOOKUP(O564,BulletType!A$1:F$35,4)</f>
        <v>0</v>
      </c>
      <c r="K564">
        <f>VLOOKUP(O564,BulletType!A$1:F$35,5)</f>
        <v>4.8</v>
      </c>
      <c r="L564">
        <f>VLOOKUP(O564,BulletType!A$1:F$35,5)</f>
        <v>4.8</v>
      </c>
      <c r="M564">
        <f>VLOOKUP(O564,BulletType!A$1:F$35,6)</f>
        <v>2.4</v>
      </c>
      <c r="N564" s="3" t="str">
        <f>VLOOKUP(P564,BulletColor!A$2:B587,2)</f>
        <v>0.625,0.3,0.3</v>
      </c>
      <c r="O564">
        <v>21</v>
      </c>
      <c r="P564" s="2">
        <v>1</v>
      </c>
      <c r="Q564" s="2">
        <f t="shared" si="37"/>
        <v>0</v>
      </c>
    </row>
    <row r="565" spans="1:17" x14ac:dyDescent="0.2">
      <c r="A565" s="1">
        <f t="shared" si="35"/>
        <v>121011</v>
      </c>
      <c r="B565" s="3" t="str">
        <f>VLOOKUP(O565,BulletType!A$1:F$35,2)&amp;VLOOKUP(P565,BulletColor!A$1:C$25,3)</f>
        <v>滴弹 深红</v>
      </c>
      <c r="C565" s="3" t="str">
        <f t="shared" si="36"/>
        <v>Bullet121010</v>
      </c>
      <c r="D565" s="2">
        <f>VLOOKUP(O565,BulletType!A$2:N613,9)</f>
        <v>0</v>
      </c>
      <c r="E565" s="2">
        <f>VLOOKUP(O565,BulletType!A$2:N613,10)</f>
        <v>0</v>
      </c>
      <c r="F565" s="3" t="str">
        <f>CONCATENATE(VLOOKUP(O565,BulletType!A$2:I$35,8),VLOOKUP(P565,BulletColor!A$2:D$16,4))</f>
        <v>Bullet200010</v>
      </c>
      <c r="G565" s="3" t="str">
        <f>VLOOKUP(O565,BulletType!A$1:G$35,7)</f>
        <v>1.6,0.406</v>
      </c>
      <c r="H565" s="2">
        <f t="shared" si="34"/>
        <v>1</v>
      </c>
      <c r="I565">
        <f>VLOOKUP(O565,BulletType!A$1:F$35,3)</f>
        <v>1</v>
      </c>
      <c r="J565">
        <f>VLOOKUP(O565,BulletType!A$1:F$35,4)</f>
        <v>0</v>
      </c>
      <c r="K565">
        <f>VLOOKUP(O565,BulletType!A$1:F$35,5)</f>
        <v>4.8</v>
      </c>
      <c r="L565">
        <f>VLOOKUP(O565,BulletType!A$1:F$35,5)</f>
        <v>4.8</v>
      </c>
      <c r="M565">
        <f>VLOOKUP(O565,BulletType!A$1:F$35,6)</f>
        <v>2.4</v>
      </c>
      <c r="N565" s="3" t="str">
        <f>VLOOKUP(P565,BulletColor!A$2:B588,2)</f>
        <v>0.625,0.3,0.3</v>
      </c>
      <c r="O565">
        <v>21</v>
      </c>
      <c r="P565" s="2">
        <v>1</v>
      </c>
      <c r="Q565" s="2">
        <f t="shared" si="37"/>
        <v>1</v>
      </c>
    </row>
    <row r="566" spans="1:17" x14ac:dyDescent="0.2">
      <c r="A566" s="1">
        <f t="shared" si="35"/>
        <v>121030</v>
      </c>
      <c r="B566" s="3" t="str">
        <f>VLOOKUP(O566,BulletType!A$1:F$35,2)&amp;VLOOKUP(P566,BulletColor!A$1:C$25,3)</f>
        <v>滴弹 深紫</v>
      </c>
      <c r="C566" s="3" t="str">
        <f t="shared" si="36"/>
        <v>Bullet121030</v>
      </c>
      <c r="D566" s="2">
        <f>VLOOKUP(O566,BulletType!A$2:N614,9)</f>
        <v>0</v>
      </c>
      <c r="E566" s="2">
        <f>VLOOKUP(O566,BulletType!A$2:N614,10)</f>
        <v>0</v>
      </c>
      <c r="F566" s="3" t="str">
        <f>CONCATENATE(VLOOKUP(O566,BulletType!A$2:I$35,8),VLOOKUP(P566,BulletColor!A$2:D$16,4))</f>
        <v>Bullet200030</v>
      </c>
      <c r="G566" s="3" t="str">
        <f>VLOOKUP(O566,BulletType!A$1:G$35,7)</f>
        <v>1.6,0.406</v>
      </c>
      <c r="H566" s="2">
        <f t="shared" si="34"/>
        <v>0</v>
      </c>
      <c r="I566">
        <f>VLOOKUP(O566,BulletType!A$1:F$35,3)</f>
        <v>1</v>
      </c>
      <c r="J566">
        <f>VLOOKUP(O566,BulletType!A$1:F$35,4)</f>
        <v>0</v>
      </c>
      <c r="K566">
        <f>VLOOKUP(O566,BulletType!A$1:F$35,5)</f>
        <v>4.8</v>
      </c>
      <c r="L566">
        <f>VLOOKUP(O566,BulletType!A$1:F$35,5)</f>
        <v>4.8</v>
      </c>
      <c r="M566">
        <f>VLOOKUP(O566,BulletType!A$1:F$35,6)</f>
        <v>2.4</v>
      </c>
      <c r="N566" s="3" t="str">
        <f>VLOOKUP(P566,BulletColor!A$2:B589,2)</f>
        <v>1,0.65,1</v>
      </c>
      <c r="O566">
        <v>21</v>
      </c>
      <c r="P566" s="2">
        <v>3</v>
      </c>
      <c r="Q566" s="2">
        <f t="shared" si="37"/>
        <v>0</v>
      </c>
    </row>
    <row r="567" spans="1:17" x14ac:dyDescent="0.2">
      <c r="A567" s="1">
        <f t="shared" si="35"/>
        <v>121031</v>
      </c>
      <c r="B567" s="3" t="str">
        <f>VLOOKUP(O567,BulletType!A$1:F$35,2)&amp;VLOOKUP(P567,BulletColor!A$1:C$25,3)</f>
        <v>滴弹 深紫</v>
      </c>
      <c r="C567" s="3" t="str">
        <f t="shared" si="36"/>
        <v>Bullet121030</v>
      </c>
      <c r="D567" s="2">
        <f>VLOOKUP(O567,BulletType!A$2:N615,9)</f>
        <v>0</v>
      </c>
      <c r="E567" s="2">
        <f>VLOOKUP(O567,BulletType!A$2:N615,10)</f>
        <v>0</v>
      </c>
      <c r="F567" s="3" t="str">
        <f>CONCATENATE(VLOOKUP(O567,BulletType!A$2:I$35,8),VLOOKUP(P567,BulletColor!A$2:D$16,4))</f>
        <v>Bullet200030</v>
      </c>
      <c r="G567" s="3" t="str">
        <f>VLOOKUP(O567,BulletType!A$1:G$35,7)</f>
        <v>1.6,0.406</v>
      </c>
      <c r="H567" s="2">
        <f t="shared" si="34"/>
        <v>1</v>
      </c>
      <c r="I567">
        <f>VLOOKUP(O567,BulletType!A$1:F$35,3)</f>
        <v>1</v>
      </c>
      <c r="J567">
        <f>VLOOKUP(O567,BulletType!A$1:F$35,4)</f>
        <v>0</v>
      </c>
      <c r="K567">
        <f>VLOOKUP(O567,BulletType!A$1:F$35,5)</f>
        <v>4.8</v>
      </c>
      <c r="L567">
        <f>VLOOKUP(O567,BulletType!A$1:F$35,5)</f>
        <v>4.8</v>
      </c>
      <c r="M567">
        <f>VLOOKUP(O567,BulletType!A$1:F$35,6)</f>
        <v>2.4</v>
      </c>
      <c r="N567" s="3" t="str">
        <f>VLOOKUP(P567,BulletColor!A$2:B590,2)</f>
        <v>1,0.65,1</v>
      </c>
      <c r="O567">
        <v>21</v>
      </c>
      <c r="P567" s="2">
        <v>3</v>
      </c>
      <c r="Q567" s="2">
        <f t="shared" si="37"/>
        <v>1</v>
      </c>
    </row>
    <row r="568" spans="1:17" x14ac:dyDescent="0.2">
      <c r="A568" s="1">
        <f t="shared" si="35"/>
        <v>121050</v>
      </c>
      <c r="B568" s="3" t="str">
        <f>VLOOKUP(O568,BulletType!A$1:F$35,2)&amp;VLOOKUP(P568,BulletColor!A$1:C$25,3)</f>
        <v>滴弹 深蓝</v>
      </c>
      <c r="C568" s="3" t="str">
        <f t="shared" si="36"/>
        <v>Bullet121050</v>
      </c>
      <c r="D568" s="2">
        <f>VLOOKUP(O568,BulletType!A$2:N616,9)</f>
        <v>0</v>
      </c>
      <c r="E568" s="2">
        <f>VLOOKUP(O568,BulletType!A$2:N616,10)</f>
        <v>0</v>
      </c>
      <c r="F568" s="3" t="str">
        <f>CONCATENATE(VLOOKUP(O568,BulletType!A$2:I$35,8),VLOOKUP(P568,BulletColor!A$2:D$16,4))</f>
        <v>Bullet200050</v>
      </c>
      <c r="G568" s="3" t="str">
        <f>VLOOKUP(O568,BulletType!A$1:G$35,7)</f>
        <v>1.6,0.406</v>
      </c>
      <c r="H568" s="2">
        <f t="shared" si="34"/>
        <v>0</v>
      </c>
      <c r="I568">
        <f>VLOOKUP(O568,BulletType!A$1:F$35,3)</f>
        <v>1</v>
      </c>
      <c r="J568">
        <f>VLOOKUP(O568,BulletType!A$1:F$35,4)</f>
        <v>0</v>
      </c>
      <c r="K568">
        <f>VLOOKUP(O568,BulletType!A$1:F$35,5)</f>
        <v>4.8</v>
      </c>
      <c r="L568">
        <f>VLOOKUP(O568,BulletType!A$1:F$35,5)</f>
        <v>4.8</v>
      </c>
      <c r="M568">
        <f>VLOOKUP(O568,BulletType!A$1:F$35,6)</f>
        <v>2.4</v>
      </c>
      <c r="N568" s="3" t="str">
        <f>VLOOKUP(P568,BulletColor!A$2:B591,2)</f>
        <v>0,0.1,1</v>
      </c>
      <c r="O568">
        <v>21</v>
      </c>
      <c r="P568" s="2">
        <v>5</v>
      </c>
      <c r="Q568" s="2">
        <f t="shared" si="37"/>
        <v>0</v>
      </c>
    </row>
    <row r="569" spans="1:17" x14ac:dyDescent="0.2">
      <c r="A569" s="1">
        <f t="shared" si="35"/>
        <v>121051</v>
      </c>
      <c r="B569" s="3" t="str">
        <f>VLOOKUP(O569,BulletType!A$1:F$35,2)&amp;VLOOKUP(P569,BulletColor!A$1:C$25,3)</f>
        <v>滴弹 深蓝</v>
      </c>
      <c r="C569" s="3" t="str">
        <f t="shared" si="36"/>
        <v>Bullet121050</v>
      </c>
      <c r="D569" s="2">
        <f>VLOOKUP(O569,BulletType!A$2:N617,9)</f>
        <v>0</v>
      </c>
      <c r="E569" s="2">
        <f>VLOOKUP(O569,BulletType!A$2:N617,10)</f>
        <v>0</v>
      </c>
      <c r="F569" s="3" t="str">
        <f>CONCATENATE(VLOOKUP(O569,BulletType!A$2:I$35,8),VLOOKUP(P569,BulletColor!A$2:D$16,4))</f>
        <v>Bullet200050</v>
      </c>
      <c r="G569" s="3" t="str">
        <f>VLOOKUP(O569,BulletType!A$1:G$35,7)</f>
        <v>1.6,0.406</v>
      </c>
      <c r="H569" s="2">
        <f t="shared" si="34"/>
        <v>1</v>
      </c>
      <c r="I569">
        <f>VLOOKUP(O569,BulletType!A$1:F$35,3)</f>
        <v>1</v>
      </c>
      <c r="J569">
        <f>VLOOKUP(O569,BulletType!A$1:F$35,4)</f>
        <v>0</v>
      </c>
      <c r="K569">
        <f>VLOOKUP(O569,BulletType!A$1:F$35,5)</f>
        <v>4.8</v>
      </c>
      <c r="L569">
        <f>VLOOKUP(O569,BulletType!A$1:F$35,5)</f>
        <v>4.8</v>
      </c>
      <c r="M569">
        <f>VLOOKUP(O569,BulletType!A$1:F$35,6)</f>
        <v>2.4</v>
      </c>
      <c r="N569" s="3" t="str">
        <f>VLOOKUP(P569,BulletColor!A$2:B592,2)</f>
        <v>0,0.1,1</v>
      </c>
      <c r="O569">
        <v>21</v>
      </c>
      <c r="P569" s="2">
        <v>5</v>
      </c>
      <c r="Q569" s="2">
        <f t="shared" si="37"/>
        <v>1</v>
      </c>
    </row>
    <row r="570" spans="1:17" x14ac:dyDescent="0.2">
      <c r="A570" s="1">
        <f t="shared" si="35"/>
        <v>121070</v>
      </c>
      <c r="B570" s="3" t="str">
        <f>VLOOKUP(O570,BulletType!A$1:F$35,2)&amp;VLOOKUP(P570,BulletColor!A$1:C$25,3)</f>
        <v>滴弹 深青</v>
      </c>
      <c r="C570" s="3" t="str">
        <f t="shared" si="36"/>
        <v>Bullet121070</v>
      </c>
      <c r="D570" s="2">
        <f>VLOOKUP(O570,BulletType!A$2:N618,9)</f>
        <v>0</v>
      </c>
      <c r="E570" s="2">
        <f>VLOOKUP(O570,BulletType!A$2:N618,10)</f>
        <v>0</v>
      </c>
      <c r="F570" s="3" t="str">
        <f>CONCATENATE(VLOOKUP(O570,BulletType!A$2:I$35,8),VLOOKUP(P570,BulletColor!A$2:D$16,4))</f>
        <v>Bullet200070</v>
      </c>
      <c r="G570" s="3" t="str">
        <f>VLOOKUP(O570,BulletType!A$1:G$35,7)</f>
        <v>1.6,0.406</v>
      </c>
      <c r="H570" s="2">
        <f t="shared" si="34"/>
        <v>0</v>
      </c>
      <c r="I570">
        <f>VLOOKUP(O570,BulletType!A$1:F$35,3)</f>
        <v>1</v>
      </c>
      <c r="J570">
        <f>VLOOKUP(O570,BulletType!A$1:F$35,4)</f>
        <v>0</v>
      </c>
      <c r="K570">
        <f>VLOOKUP(O570,BulletType!A$1:F$35,5)</f>
        <v>4.8</v>
      </c>
      <c r="L570">
        <f>VLOOKUP(O570,BulletType!A$1:F$35,5)</f>
        <v>4.8</v>
      </c>
      <c r="M570">
        <f>VLOOKUP(O570,BulletType!A$1:F$35,6)</f>
        <v>2.4</v>
      </c>
      <c r="N570" s="3" t="str">
        <f>VLOOKUP(P570,BulletColor!A$2:B593,2)</f>
        <v>0.25,1,1</v>
      </c>
      <c r="O570">
        <v>21</v>
      </c>
      <c r="P570" s="2">
        <v>7</v>
      </c>
      <c r="Q570" s="2">
        <f t="shared" si="37"/>
        <v>0</v>
      </c>
    </row>
    <row r="571" spans="1:17" x14ac:dyDescent="0.2">
      <c r="A571" s="1">
        <f t="shared" si="35"/>
        <v>121071</v>
      </c>
      <c r="B571" s="3" t="str">
        <f>VLOOKUP(O571,BulletType!A$1:F$35,2)&amp;VLOOKUP(P571,BulletColor!A$1:C$25,3)</f>
        <v>滴弹 深青</v>
      </c>
      <c r="C571" s="3" t="str">
        <f t="shared" si="36"/>
        <v>Bullet121070</v>
      </c>
      <c r="D571" s="2">
        <f>VLOOKUP(O571,BulletType!A$2:N619,9)</f>
        <v>0</v>
      </c>
      <c r="E571" s="2">
        <f>VLOOKUP(O571,BulletType!A$2:N619,10)</f>
        <v>0</v>
      </c>
      <c r="F571" s="3" t="str">
        <f>CONCATENATE(VLOOKUP(O571,BulletType!A$2:I$35,8),VLOOKUP(P571,BulletColor!A$2:D$16,4))</f>
        <v>Bullet200070</v>
      </c>
      <c r="G571" s="3" t="str">
        <f>VLOOKUP(O571,BulletType!A$1:G$35,7)</f>
        <v>1.6,0.406</v>
      </c>
      <c r="H571" s="2">
        <f t="shared" si="34"/>
        <v>1</v>
      </c>
      <c r="I571">
        <f>VLOOKUP(O571,BulletType!A$1:F$35,3)</f>
        <v>1</v>
      </c>
      <c r="J571">
        <f>VLOOKUP(O571,BulletType!A$1:F$35,4)</f>
        <v>0</v>
      </c>
      <c r="K571">
        <f>VLOOKUP(O571,BulletType!A$1:F$35,5)</f>
        <v>4.8</v>
      </c>
      <c r="L571">
        <f>VLOOKUP(O571,BulletType!A$1:F$35,5)</f>
        <v>4.8</v>
      </c>
      <c r="M571">
        <f>VLOOKUP(O571,BulletType!A$1:F$35,6)</f>
        <v>2.4</v>
      </c>
      <c r="N571" s="3" t="str">
        <f>VLOOKUP(P571,BulletColor!A$2:B594,2)</f>
        <v>0.25,1,1</v>
      </c>
      <c r="O571">
        <v>21</v>
      </c>
      <c r="P571" s="2">
        <v>7</v>
      </c>
      <c r="Q571" s="2">
        <f t="shared" si="37"/>
        <v>1</v>
      </c>
    </row>
    <row r="572" spans="1:17" x14ac:dyDescent="0.2">
      <c r="A572" s="1">
        <f t="shared" si="35"/>
        <v>121090</v>
      </c>
      <c r="B572" s="3" t="str">
        <f>VLOOKUP(O572,BulletType!A$1:F$35,2)&amp;VLOOKUP(P572,BulletColor!A$1:C$25,3)</f>
        <v>滴弹 深绿</v>
      </c>
      <c r="C572" s="3" t="str">
        <f t="shared" si="36"/>
        <v>Bullet121090</v>
      </c>
      <c r="D572" s="2">
        <f>VLOOKUP(O572,BulletType!A$2:N620,9)</f>
        <v>0</v>
      </c>
      <c r="E572" s="2">
        <f>VLOOKUP(O572,BulletType!A$2:N620,10)</f>
        <v>0</v>
      </c>
      <c r="F572" s="3" t="str">
        <f>CONCATENATE(VLOOKUP(O572,BulletType!A$2:I$35,8),VLOOKUP(P572,BulletColor!A$2:D$16,4))</f>
        <v>Bullet200090</v>
      </c>
      <c r="G572" s="3" t="str">
        <f>VLOOKUP(O572,BulletType!A$1:G$35,7)</f>
        <v>1.6,0.406</v>
      </c>
      <c r="H572" s="2">
        <f t="shared" si="34"/>
        <v>0</v>
      </c>
      <c r="I572">
        <f>VLOOKUP(O572,BulletType!A$1:F$35,3)</f>
        <v>1</v>
      </c>
      <c r="J572">
        <f>VLOOKUP(O572,BulletType!A$1:F$35,4)</f>
        <v>0</v>
      </c>
      <c r="K572">
        <f>VLOOKUP(O572,BulletType!A$1:F$35,5)</f>
        <v>4.8</v>
      </c>
      <c r="L572">
        <f>VLOOKUP(O572,BulletType!A$1:F$35,5)</f>
        <v>4.8</v>
      </c>
      <c r="M572">
        <f>VLOOKUP(O572,BulletType!A$1:F$35,6)</f>
        <v>2.4</v>
      </c>
      <c r="N572" s="3" t="str">
        <f>VLOOKUP(P572,BulletColor!A$2:B595,2)</f>
        <v>0.36,0.78,1</v>
      </c>
      <c r="O572">
        <v>21</v>
      </c>
      <c r="P572" s="2">
        <v>9</v>
      </c>
      <c r="Q572" s="2">
        <f t="shared" si="37"/>
        <v>0</v>
      </c>
    </row>
    <row r="573" spans="1:17" x14ac:dyDescent="0.2">
      <c r="A573" s="1">
        <f t="shared" si="35"/>
        <v>121091</v>
      </c>
      <c r="B573" s="3" t="str">
        <f>VLOOKUP(O573,BulletType!A$1:F$35,2)&amp;VLOOKUP(P573,BulletColor!A$1:C$25,3)</f>
        <v>滴弹 深绿</v>
      </c>
      <c r="C573" s="3" t="str">
        <f t="shared" si="36"/>
        <v>Bullet121090</v>
      </c>
      <c r="D573" s="2">
        <f>VLOOKUP(O573,BulletType!A$2:N621,9)</f>
        <v>0</v>
      </c>
      <c r="E573" s="2">
        <f>VLOOKUP(O573,BulletType!A$2:N621,10)</f>
        <v>0</v>
      </c>
      <c r="F573" s="3" t="str">
        <f>CONCATENATE(VLOOKUP(O573,BulletType!A$2:I$35,8),VLOOKUP(P573,BulletColor!A$2:D$16,4))</f>
        <v>Bullet200090</v>
      </c>
      <c r="G573" s="3" t="str">
        <f>VLOOKUP(O573,BulletType!A$1:G$35,7)</f>
        <v>1.6,0.406</v>
      </c>
      <c r="H573" s="2">
        <f t="shared" si="34"/>
        <v>1</v>
      </c>
      <c r="I573">
        <f>VLOOKUP(O573,BulletType!A$1:F$35,3)</f>
        <v>1</v>
      </c>
      <c r="J573">
        <f>VLOOKUP(O573,BulletType!A$1:F$35,4)</f>
        <v>0</v>
      </c>
      <c r="K573">
        <f>VLOOKUP(O573,BulletType!A$1:F$35,5)</f>
        <v>4.8</v>
      </c>
      <c r="L573">
        <f>VLOOKUP(O573,BulletType!A$1:F$35,5)</f>
        <v>4.8</v>
      </c>
      <c r="M573">
        <f>VLOOKUP(O573,BulletType!A$1:F$35,6)</f>
        <v>2.4</v>
      </c>
      <c r="N573" s="3" t="str">
        <f>VLOOKUP(P573,BulletColor!A$2:B596,2)</f>
        <v>0.36,0.78,1</v>
      </c>
      <c r="O573">
        <v>21</v>
      </c>
      <c r="P573" s="2">
        <v>9</v>
      </c>
      <c r="Q573" s="2">
        <f t="shared" si="37"/>
        <v>1</v>
      </c>
    </row>
    <row r="574" spans="1:17" x14ac:dyDescent="0.2">
      <c r="A574" s="1">
        <f t="shared" si="35"/>
        <v>121130</v>
      </c>
      <c r="B574" s="3" t="str">
        <f>VLOOKUP(O574,BulletType!A$1:F$35,2)&amp;VLOOKUP(P574,BulletColor!A$1:C$25,3)</f>
        <v>滴弹 浅黄</v>
      </c>
      <c r="C574" s="3" t="str">
        <f t="shared" si="36"/>
        <v>Bullet121130</v>
      </c>
      <c r="D574" s="2">
        <f>VLOOKUP(O574,BulletType!A$2:N622,9)</f>
        <v>0</v>
      </c>
      <c r="E574" s="2">
        <f>VLOOKUP(O574,BulletType!A$2:N622,10)</f>
        <v>0</v>
      </c>
      <c r="F574" s="3" t="str">
        <f>CONCATENATE(VLOOKUP(O574,BulletType!A$2:I$35,8),VLOOKUP(P574,BulletColor!A$2:D$16,4))</f>
        <v>Bullet200130</v>
      </c>
      <c r="G574" s="3" t="str">
        <f>VLOOKUP(O574,BulletType!A$1:G$35,7)</f>
        <v>1.6,0.406</v>
      </c>
      <c r="H574" s="2">
        <f t="shared" si="34"/>
        <v>0</v>
      </c>
      <c r="I574">
        <f>VLOOKUP(O574,BulletType!A$1:F$35,3)</f>
        <v>1</v>
      </c>
      <c r="J574">
        <f>VLOOKUP(O574,BulletType!A$1:F$35,4)</f>
        <v>0</v>
      </c>
      <c r="K574">
        <f>VLOOKUP(O574,BulletType!A$1:F$35,5)</f>
        <v>4.8</v>
      </c>
      <c r="L574">
        <f>VLOOKUP(O574,BulletType!A$1:F$35,5)</f>
        <v>4.8</v>
      </c>
      <c r="M574">
        <f>VLOOKUP(O574,BulletType!A$1:F$35,6)</f>
        <v>2.4</v>
      </c>
      <c r="N574" s="3" t="str">
        <f>VLOOKUP(P574,BulletColor!A$2:B597,2)</f>
        <v>0.9,1,0.4</v>
      </c>
      <c r="O574">
        <v>21</v>
      </c>
      <c r="P574" s="2">
        <v>13</v>
      </c>
      <c r="Q574" s="2">
        <f t="shared" si="37"/>
        <v>0</v>
      </c>
    </row>
    <row r="575" spans="1:17" x14ac:dyDescent="0.2">
      <c r="A575" s="1">
        <f t="shared" si="35"/>
        <v>121131</v>
      </c>
      <c r="B575" s="3" t="str">
        <f>VLOOKUP(O575,BulletType!A$1:F$35,2)&amp;VLOOKUP(P575,BulletColor!A$1:C$25,3)</f>
        <v>滴弹 浅黄</v>
      </c>
      <c r="C575" s="3" t="str">
        <f t="shared" si="36"/>
        <v>Bullet121130</v>
      </c>
      <c r="D575" s="2">
        <f>VLOOKUP(O575,BulletType!A$2:N623,9)</f>
        <v>0</v>
      </c>
      <c r="E575" s="2">
        <f>VLOOKUP(O575,BulletType!A$2:N623,10)</f>
        <v>0</v>
      </c>
      <c r="F575" s="3" t="str">
        <f>CONCATENATE(VLOOKUP(O575,BulletType!A$2:I$35,8),VLOOKUP(P575,BulletColor!A$2:D$16,4))</f>
        <v>Bullet200130</v>
      </c>
      <c r="G575" s="3" t="str">
        <f>VLOOKUP(O575,BulletType!A$1:G$35,7)</f>
        <v>1.6,0.406</v>
      </c>
      <c r="H575" s="2">
        <f t="shared" si="34"/>
        <v>1</v>
      </c>
      <c r="I575">
        <f>VLOOKUP(O575,BulletType!A$1:F$35,3)</f>
        <v>1</v>
      </c>
      <c r="J575">
        <f>VLOOKUP(O575,BulletType!A$1:F$35,4)</f>
        <v>0</v>
      </c>
      <c r="K575">
        <f>VLOOKUP(O575,BulletType!A$1:F$35,5)</f>
        <v>4.8</v>
      </c>
      <c r="L575">
        <f>VLOOKUP(O575,BulletType!A$1:F$35,5)</f>
        <v>4.8</v>
      </c>
      <c r="M575">
        <f>VLOOKUP(O575,BulletType!A$1:F$35,6)</f>
        <v>2.4</v>
      </c>
      <c r="N575" s="3" t="str">
        <f>VLOOKUP(P575,BulletColor!A$2:B598,2)</f>
        <v>0.9,1,0.4</v>
      </c>
      <c r="O575">
        <v>21</v>
      </c>
      <c r="P575" s="2">
        <v>13</v>
      </c>
      <c r="Q575" s="2">
        <f t="shared" si="37"/>
        <v>1</v>
      </c>
    </row>
    <row r="576" spans="1:17" x14ac:dyDescent="0.2">
      <c r="A576" s="1">
        <f t="shared" si="35"/>
        <v>121150</v>
      </c>
      <c r="B576" s="3" t="str">
        <f>VLOOKUP(O576,BulletType!A$1:F$35,2)&amp;VLOOKUP(P576,BulletColor!A$1:C$25,3)</f>
        <v>滴弹 白</v>
      </c>
      <c r="C576" s="3" t="str">
        <f t="shared" si="36"/>
        <v>Bullet121150</v>
      </c>
      <c r="D576" s="2">
        <f>VLOOKUP(O576,BulletType!A$2:N624,9)</f>
        <v>0</v>
      </c>
      <c r="E576" s="2">
        <f>VLOOKUP(O576,BulletType!A$2:N624,10)</f>
        <v>0</v>
      </c>
      <c r="F576" s="3" t="str">
        <f>CONCATENATE(VLOOKUP(O576,BulletType!A$2:I$35,8),VLOOKUP(P576,BulletColor!A$2:D$16,4))</f>
        <v>Bullet200130</v>
      </c>
      <c r="G576" s="3" t="str">
        <f>VLOOKUP(O576,BulletType!A$1:G$35,7)</f>
        <v>1.6,0.406</v>
      </c>
      <c r="H576" s="2">
        <f t="shared" si="34"/>
        <v>0</v>
      </c>
      <c r="I576">
        <f>VLOOKUP(O576,BulletType!A$1:F$35,3)</f>
        <v>1</v>
      </c>
      <c r="J576">
        <f>VLOOKUP(O576,BulletType!A$1:F$35,4)</f>
        <v>0</v>
      </c>
      <c r="K576">
        <f>VLOOKUP(O576,BulletType!A$1:F$35,5)</f>
        <v>4.8</v>
      </c>
      <c r="L576">
        <f>VLOOKUP(O576,BulletType!A$1:F$35,5)</f>
        <v>4.8</v>
      </c>
      <c r="M576">
        <f>VLOOKUP(O576,BulletType!A$1:F$35,6)</f>
        <v>2.4</v>
      </c>
      <c r="N576" s="3" t="str">
        <f>VLOOKUP(P576,BulletColor!A$2:B599,2)</f>
        <v>0.8,0.8,0.8</v>
      </c>
      <c r="O576">
        <v>21</v>
      </c>
      <c r="P576" s="2">
        <v>15</v>
      </c>
      <c r="Q576" s="2">
        <f t="shared" si="37"/>
        <v>0</v>
      </c>
    </row>
    <row r="577" spans="1:17" x14ac:dyDescent="0.2">
      <c r="A577" s="1">
        <f t="shared" si="35"/>
        <v>121151</v>
      </c>
      <c r="B577" s="3" t="str">
        <f>VLOOKUP(O577,BulletType!A$1:F$35,2)&amp;VLOOKUP(P577,BulletColor!A$1:C$25,3)</f>
        <v>滴弹 白</v>
      </c>
      <c r="C577" s="3" t="str">
        <f t="shared" si="36"/>
        <v>Bullet121150</v>
      </c>
      <c r="D577" s="2">
        <f>VLOOKUP(O577,BulletType!A$2:N625,9)</f>
        <v>0</v>
      </c>
      <c r="E577" s="2">
        <f>VLOOKUP(O577,BulletType!A$2:N625,10)</f>
        <v>0</v>
      </c>
      <c r="F577" s="3" t="str">
        <f>CONCATENATE(VLOOKUP(O577,BulletType!A$2:I$35,8),VLOOKUP(P577,BulletColor!A$2:D$16,4))</f>
        <v>Bullet200130</v>
      </c>
      <c r="G577" s="3" t="str">
        <f>VLOOKUP(O577,BulletType!A$1:G$35,7)</f>
        <v>1.6,0.406</v>
      </c>
      <c r="H577" s="2">
        <f t="shared" si="34"/>
        <v>1</v>
      </c>
      <c r="I577">
        <f>VLOOKUP(O577,BulletType!A$1:F$35,3)</f>
        <v>1</v>
      </c>
      <c r="J577">
        <f>VLOOKUP(O577,BulletType!A$1:F$35,4)</f>
        <v>0</v>
      </c>
      <c r="K577">
        <f>VLOOKUP(O577,BulletType!A$1:F$35,5)</f>
        <v>4.8</v>
      </c>
      <c r="L577">
        <f>VLOOKUP(O577,BulletType!A$1:F$35,5)</f>
        <v>4.8</v>
      </c>
      <c r="M577">
        <f>VLOOKUP(O577,BulletType!A$1:F$35,6)</f>
        <v>2.4</v>
      </c>
      <c r="N577" s="3" t="str">
        <f>VLOOKUP(P577,BulletColor!A$2:B600,2)</f>
        <v>0.8,0.8,0.8</v>
      </c>
      <c r="O577">
        <v>21</v>
      </c>
      <c r="P577" s="2">
        <v>15</v>
      </c>
      <c r="Q577" s="2">
        <f t="shared" si="37"/>
        <v>1</v>
      </c>
    </row>
    <row r="578" spans="1:17" x14ac:dyDescent="0.2">
      <c r="A578" s="1">
        <f t="shared" si="35"/>
        <v>122000</v>
      </c>
      <c r="B578" s="3" t="str">
        <f>VLOOKUP(O578,BulletType!A$1:F$35,2)&amp;VLOOKUP(P578,BulletColor!A$1:C$25,3)</f>
        <v>大光玉灰</v>
      </c>
      <c r="C578" s="3" t="str">
        <f t="shared" si="36"/>
        <v>Bullet122000</v>
      </c>
      <c r="D578" s="2">
        <f>VLOOKUP(O578,BulletType!A$2:N626,9)</f>
        <v>0</v>
      </c>
      <c r="E578" s="2">
        <f>VLOOKUP(O578,BulletType!A$2:N626,10)</f>
        <v>0</v>
      </c>
      <c r="F578" s="3" t="str">
        <f>CONCATENATE(VLOOKUP(O578,BulletType!A$2:I$35,8),VLOOKUP(P578,BulletColor!A$2:D$16,4))</f>
        <v>Bullet122000</v>
      </c>
      <c r="G578" s="3" t="str">
        <f>VLOOKUP(O578,BulletType!A$1:G$35,7)</f>
        <v>2,1</v>
      </c>
      <c r="H578" s="2">
        <f t="shared" ref="H578:H641" si="38">INT(Q578)</f>
        <v>0</v>
      </c>
      <c r="I578">
        <f>VLOOKUP(O578,BulletType!A$1:F$35,3)</f>
        <v>0</v>
      </c>
      <c r="J578">
        <f>VLOOKUP(O578,BulletType!A$1:F$35,4)</f>
        <v>0</v>
      </c>
      <c r="K578">
        <f>VLOOKUP(O578,BulletType!A$1:F$35,5)</f>
        <v>24</v>
      </c>
      <c r="L578">
        <f>VLOOKUP(O578,BulletType!A$1:F$35,5)</f>
        <v>24</v>
      </c>
      <c r="M578">
        <f>VLOOKUP(O578,BulletType!A$1:F$35,6)</f>
        <v>12</v>
      </c>
      <c r="N578" s="3" t="str">
        <f>VLOOKUP(P578,BulletColor!A$2:B601,2)</f>
        <v>0.5,0.5,0.5</v>
      </c>
      <c r="O578">
        <v>22</v>
      </c>
      <c r="P578" s="2">
        <v>0</v>
      </c>
      <c r="Q578" s="2">
        <f t="shared" si="37"/>
        <v>0</v>
      </c>
    </row>
    <row r="579" spans="1:17" x14ac:dyDescent="0.2">
      <c r="A579" s="1">
        <f t="shared" ref="A579:A642" si="39">VALUE(CONCATENATE(1,(REPT(0,2-LEN(O579))&amp;O579),REPT(0,2-LEN(P579))&amp;(P579),Q579))</f>
        <v>122001</v>
      </c>
      <c r="B579" s="3" t="str">
        <f>VLOOKUP(O579,BulletType!A$1:F$35,2)&amp;VLOOKUP(P579,BulletColor!A$1:C$25,3)</f>
        <v>大光玉灰</v>
      </c>
      <c r="C579" s="3" t="str">
        <f t="shared" ref="C579:C641" si="40">CONCATENATE("Bullet",INT(A579/10)*10)</f>
        <v>Bullet122000</v>
      </c>
      <c r="D579" s="2">
        <f>VLOOKUP(O579,BulletType!A$2:N627,9)</f>
        <v>0</v>
      </c>
      <c r="E579" s="2">
        <f>VLOOKUP(O579,BulletType!A$2:N627,10)</f>
        <v>0</v>
      </c>
      <c r="F579" s="3" t="str">
        <f>CONCATENATE(VLOOKUP(O579,BulletType!A$2:I$35,8),VLOOKUP(P579,BulletColor!A$2:D$16,4))</f>
        <v>Bullet122000</v>
      </c>
      <c r="G579" s="3" t="str">
        <f>VLOOKUP(O579,BulletType!A$1:G$35,7)</f>
        <v>2,1</v>
      </c>
      <c r="H579" s="2">
        <f t="shared" si="38"/>
        <v>1</v>
      </c>
      <c r="I579">
        <f>VLOOKUP(O579,BulletType!A$1:F$35,3)</f>
        <v>0</v>
      </c>
      <c r="J579">
        <f>VLOOKUP(O579,BulletType!A$1:F$35,4)</f>
        <v>0</v>
      </c>
      <c r="K579">
        <f>VLOOKUP(O579,BulletType!A$1:F$35,5)</f>
        <v>24</v>
      </c>
      <c r="L579">
        <f>VLOOKUP(O579,BulletType!A$1:F$35,5)</f>
        <v>24</v>
      </c>
      <c r="M579">
        <f>VLOOKUP(O579,BulletType!A$1:F$35,6)</f>
        <v>12</v>
      </c>
      <c r="N579" s="3" t="str">
        <f>VLOOKUP(P579,BulletColor!A$2:B602,2)</f>
        <v>0.5,0.5,0.5</v>
      </c>
      <c r="O579">
        <v>22</v>
      </c>
      <c r="P579" s="2">
        <v>0</v>
      </c>
      <c r="Q579" s="2">
        <f t="shared" si="37"/>
        <v>1</v>
      </c>
    </row>
    <row r="580" spans="1:17" x14ac:dyDescent="0.2">
      <c r="A580" s="1">
        <f t="shared" si="39"/>
        <v>122010</v>
      </c>
      <c r="B580" s="3" t="str">
        <f>VLOOKUP(O580,BulletType!A$1:F$35,2)&amp;VLOOKUP(P580,BulletColor!A$1:C$25,3)</f>
        <v>大光玉深红</v>
      </c>
      <c r="C580" s="3" t="str">
        <f t="shared" si="40"/>
        <v>Bullet122010</v>
      </c>
      <c r="D580" s="2">
        <f>VLOOKUP(O580,BulletType!A$2:N628,9)</f>
        <v>0</v>
      </c>
      <c r="E580" s="2">
        <f>VLOOKUP(O580,BulletType!A$2:N628,10)</f>
        <v>0</v>
      </c>
      <c r="F580" s="3" t="str">
        <f>CONCATENATE(VLOOKUP(O580,BulletType!A$2:I$35,8),VLOOKUP(P580,BulletColor!A$2:D$16,4))</f>
        <v>Bullet122010</v>
      </c>
      <c r="G580" s="3" t="str">
        <f>VLOOKUP(O580,BulletType!A$1:G$35,7)</f>
        <v>2,1</v>
      </c>
      <c r="H580" s="2">
        <f t="shared" si="38"/>
        <v>0</v>
      </c>
      <c r="I580">
        <f>VLOOKUP(O580,BulletType!A$1:F$35,3)</f>
        <v>0</v>
      </c>
      <c r="J580">
        <f>VLOOKUP(O580,BulletType!A$1:F$35,4)</f>
        <v>0</v>
      </c>
      <c r="K580">
        <f>VLOOKUP(O580,BulletType!A$1:F$35,5)</f>
        <v>24</v>
      </c>
      <c r="L580">
        <f>VLOOKUP(O580,BulletType!A$1:F$35,5)</f>
        <v>24</v>
      </c>
      <c r="M580">
        <f>VLOOKUP(O580,BulletType!A$1:F$35,6)</f>
        <v>12</v>
      </c>
      <c r="N580" s="3" t="str">
        <f>VLOOKUP(P580,BulletColor!A$2:B603,2)</f>
        <v>0.625,0.3,0.3</v>
      </c>
      <c r="O580">
        <v>22</v>
      </c>
      <c r="P580" s="2">
        <v>1</v>
      </c>
      <c r="Q580" s="2">
        <f t="shared" si="37"/>
        <v>0</v>
      </c>
    </row>
    <row r="581" spans="1:17" x14ac:dyDescent="0.2">
      <c r="A581" s="1">
        <f t="shared" si="39"/>
        <v>122011</v>
      </c>
      <c r="B581" s="3" t="str">
        <f>VLOOKUP(O581,BulletType!A$1:F$35,2)&amp;VLOOKUP(P581,BulletColor!A$1:C$25,3)</f>
        <v>大光玉深红</v>
      </c>
      <c r="C581" s="3" t="str">
        <f t="shared" si="40"/>
        <v>Bullet122010</v>
      </c>
      <c r="D581" s="2">
        <f>VLOOKUP(O581,BulletType!A$2:N629,9)</f>
        <v>0</v>
      </c>
      <c r="E581" s="2">
        <f>VLOOKUP(O581,BulletType!A$2:N629,10)</f>
        <v>0</v>
      </c>
      <c r="F581" s="3" t="str">
        <f>CONCATENATE(VLOOKUP(O581,BulletType!A$2:I$35,8),VLOOKUP(P581,BulletColor!A$2:D$16,4))</f>
        <v>Bullet122010</v>
      </c>
      <c r="G581" s="3" t="str">
        <f>VLOOKUP(O581,BulletType!A$1:G$35,7)</f>
        <v>2,1</v>
      </c>
      <c r="H581" s="2">
        <f t="shared" si="38"/>
        <v>1</v>
      </c>
      <c r="I581">
        <f>VLOOKUP(O581,BulletType!A$1:F$35,3)</f>
        <v>0</v>
      </c>
      <c r="J581">
        <f>VLOOKUP(O581,BulletType!A$1:F$35,4)</f>
        <v>0</v>
      </c>
      <c r="K581">
        <f>VLOOKUP(O581,BulletType!A$1:F$35,5)</f>
        <v>24</v>
      </c>
      <c r="L581">
        <f>VLOOKUP(O581,BulletType!A$1:F$35,5)</f>
        <v>24</v>
      </c>
      <c r="M581">
        <f>VLOOKUP(O581,BulletType!A$1:F$35,6)</f>
        <v>12</v>
      </c>
      <c r="N581" s="3" t="str">
        <f>VLOOKUP(P581,BulletColor!A$2:B604,2)</f>
        <v>0.625,0.3,0.3</v>
      </c>
      <c r="O581">
        <v>22</v>
      </c>
      <c r="P581" s="2">
        <v>1</v>
      </c>
      <c r="Q581" s="2">
        <f t="shared" si="37"/>
        <v>1</v>
      </c>
    </row>
    <row r="582" spans="1:17" x14ac:dyDescent="0.2">
      <c r="A582" s="1">
        <f t="shared" si="39"/>
        <v>122030</v>
      </c>
      <c r="B582" s="3" t="str">
        <f>VLOOKUP(O582,BulletType!A$1:F$35,2)&amp;VLOOKUP(P582,BulletColor!A$1:C$25,3)</f>
        <v>大光玉深紫</v>
      </c>
      <c r="C582" s="3" t="str">
        <f t="shared" si="40"/>
        <v>Bullet122030</v>
      </c>
      <c r="D582" s="2">
        <f>VLOOKUP(O582,BulletType!A$2:N630,9)</f>
        <v>0</v>
      </c>
      <c r="E582" s="2">
        <f>VLOOKUP(O582,BulletType!A$2:N630,10)</f>
        <v>0</v>
      </c>
      <c r="F582" s="3" t="str">
        <f>CONCATENATE(VLOOKUP(O582,BulletType!A$2:I$35,8),VLOOKUP(P582,BulletColor!A$2:D$16,4))</f>
        <v>Bullet122030</v>
      </c>
      <c r="G582" s="3" t="str">
        <f>VLOOKUP(O582,BulletType!A$1:G$35,7)</f>
        <v>2,1</v>
      </c>
      <c r="H582" s="2">
        <f t="shared" si="38"/>
        <v>0</v>
      </c>
      <c r="I582">
        <f>VLOOKUP(O582,BulletType!A$1:F$35,3)</f>
        <v>0</v>
      </c>
      <c r="J582">
        <f>VLOOKUP(O582,BulletType!A$1:F$35,4)</f>
        <v>0</v>
      </c>
      <c r="K582">
        <f>VLOOKUP(O582,BulletType!A$1:F$35,5)</f>
        <v>24</v>
      </c>
      <c r="L582">
        <f>VLOOKUP(O582,BulletType!A$1:F$35,5)</f>
        <v>24</v>
      </c>
      <c r="M582">
        <f>VLOOKUP(O582,BulletType!A$1:F$35,6)</f>
        <v>12</v>
      </c>
      <c r="N582" s="3" t="str">
        <f>VLOOKUP(P582,BulletColor!A$2:B605,2)</f>
        <v>1,0.65,1</v>
      </c>
      <c r="O582">
        <v>22</v>
      </c>
      <c r="P582" s="2">
        <v>3</v>
      </c>
      <c r="Q582" s="2">
        <f t="shared" si="37"/>
        <v>0</v>
      </c>
    </row>
    <row r="583" spans="1:17" x14ac:dyDescent="0.2">
      <c r="A583" s="1">
        <f t="shared" si="39"/>
        <v>122031</v>
      </c>
      <c r="B583" s="3" t="str">
        <f>VLOOKUP(O583,BulletType!A$1:F$35,2)&amp;VLOOKUP(P583,BulletColor!A$1:C$25,3)</f>
        <v>大光玉深紫</v>
      </c>
      <c r="C583" s="3" t="str">
        <f t="shared" si="40"/>
        <v>Bullet122030</v>
      </c>
      <c r="D583" s="2">
        <f>VLOOKUP(O583,BulletType!A$2:N631,9)</f>
        <v>0</v>
      </c>
      <c r="E583" s="2">
        <f>VLOOKUP(O583,BulletType!A$2:N631,10)</f>
        <v>0</v>
      </c>
      <c r="F583" s="3" t="str">
        <f>CONCATENATE(VLOOKUP(O583,BulletType!A$2:I$35,8),VLOOKUP(P583,BulletColor!A$2:D$16,4))</f>
        <v>Bullet122030</v>
      </c>
      <c r="G583" s="3" t="str">
        <f>VLOOKUP(O583,BulletType!A$1:G$35,7)</f>
        <v>2,1</v>
      </c>
      <c r="H583" s="2">
        <f t="shared" si="38"/>
        <v>1</v>
      </c>
      <c r="I583">
        <f>VLOOKUP(O583,BulletType!A$1:F$35,3)</f>
        <v>0</v>
      </c>
      <c r="J583">
        <f>VLOOKUP(O583,BulletType!A$1:F$35,4)</f>
        <v>0</v>
      </c>
      <c r="K583">
        <f>VLOOKUP(O583,BulletType!A$1:F$35,5)</f>
        <v>24</v>
      </c>
      <c r="L583">
        <f>VLOOKUP(O583,BulletType!A$1:F$35,5)</f>
        <v>24</v>
      </c>
      <c r="M583">
        <f>VLOOKUP(O583,BulletType!A$1:F$35,6)</f>
        <v>12</v>
      </c>
      <c r="N583" s="3" t="str">
        <f>VLOOKUP(P583,BulletColor!A$2:B606,2)</f>
        <v>1,0.65,1</v>
      </c>
      <c r="O583">
        <v>22</v>
      </c>
      <c r="P583" s="2">
        <v>3</v>
      </c>
      <c r="Q583" s="2">
        <f t="shared" si="37"/>
        <v>1</v>
      </c>
    </row>
    <row r="584" spans="1:17" x14ac:dyDescent="0.2">
      <c r="A584" s="1">
        <f t="shared" si="39"/>
        <v>122050</v>
      </c>
      <c r="B584" s="3" t="str">
        <f>VLOOKUP(O584,BulletType!A$1:F$35,2)&amp;VLOOKUP(P584,BulletColor!A$1:C$25,3)</f>
        <v>大光玉深蓝</v>
      </c>
      <c r="C584" s="3" t="str">
        <f t="shared" si="40"/>
        <v>Bullet122050</v>
      </c>
      <c r="D584" s="2">
        <f>VLOOKUP(O584,BulletType!A$2:N632,9)</f>
        <v>0</v>
      </c>
      <c r="E584" s="2">
        <f>VLOOKUP(O584,BulletType!A$2:N632,10)</f>
        <v>0</v>
      </c>
      <c r="F584" s="3" t="str">
        <f>CONCATENATE(VLOOKUP(O584,BulletType!A$2:I$35,8),VLOOKUP(P584,BulletColor!A$2:D$16,4))</f>
        <v>Bullet122050</v>
      </c>
      <c r="G584" s="3" t="str">
        <f>VLOOKUP(O584,BulletType!A$1:G$35,7)</f>
        <v>2,1</v>
      </c>
      <c r="H584" s="2">
        <f t="shared" si="38"/>
        <v>0</v>
      </c>
      <c r="I584">
        <f>VLOOKUP(O584,BulletType!A$1:F$35,3)</f>
        <v>0</v>
      </c>
      <c r="J584">
        <f>VLOOKUP(O584,BulletType!A$1:F$35,4)</f>
        <v>0</v>
      </c>
      <c r="K584">
        <f>VLOOKUP(O584,BulletType!A$1:F$35,5)</f>
        <v>24</v>
      </c>
      <c r="L584">
        <f>VLOOKUP(O584,BulletType!A$1:F$35,5)</f>
        <v>24</v>
      </c>
      <c r="M584">
        <f>VLOOKUP(O584,BulletType!A$1:F$35,6)</f>
        <v>12</v>
      </c>
      <c r="N584" s="3" t="str">
        <f>VLOOKUP(P584,BulletColor!A$2:B607,2)</f>
        <v>0,0.1,1</v>
      </c>
      <c r="O584">
        <v>22</v>
      </c>
      <c r="P584" s="2">
        <v>5</v>
      </c>
      <c r="Q584" s="2">
        <f t="shared" si="37"/>
        <v>0</v>
      </c>
    </row>
    <row r="585" spans="1:17" x14ac:dyDescent="0.2">
      <c r="A585" s="1">
        <f t="shared" si="39"/>
        <v>122051</v>
      </c>
      <c r="B585" s="3" t="str">
        <f>VLOOKUP(O585,BulletType!A$1:F$35,2)&amp;VLOOKUP(P585,BulletColor!A$1:C$25,3)</f>
        <v>大光玉深蓝</v>
      </c>
      <c r="C585" s="3" t="str">
        <f t="shared" si="40"/>
        <v>Bullet122050</v>
      </c>
      <c r="D585" s="2">
        <f>VLOOKUP(O585,BulletType!A$2:N633,9)</f>
        <v>0</v>
      </c>
      <c r="E585" s="2">
        <f>VLOOKUP(O585,BulletType!A$2:N633,10)</f>
        <v>0</v>
      </c>
      <c r="F585" s="3" t="str">
        <f>CONCATENATE(VLOOKUP(O585,BulletType!A$2:I$35,8),VLOOKUP(P585,BulletColor!A$2:D$16,4))</f>
        <v>Bullet122050</v>
      </c>
      <c r="G585" s="3" t="str">
        <f>VLOOKUP(O585,BulletType!A$1:G$35,7)</f>
        <v>2,1</v>
      </c>
      <c r="H585" s="2">
        <f t="shared" si="38"/>
        <v>1</v>
      </c>
      <c r="I585">
        <f>VLOOKUP(O585,BulletType!A$1:F$35,3)</f>
        <v>0</v>
      </c>
      <c r="J585">
        <f>VLOOKUP(O585,BulletType!A$1:F$35,4)</f>
        <v>0</v>
      </c>
      <c r="K585">
        <f>VLOOKUP(O585,BulletType!A$1:F$35,5)</f>
        <v>24</v>
      </c>
      <c r="L585">
        <f>VLOOKUP(O585,BulletType!A$1:F$35,5)</f>
        <v>24</v>
      </c>
      <c r="M585">
        <f>VLOOKUP(O585,BulletType!A$1:F$35,6)</f>
        <v>12</v>
      </c>
      <c r="N585" s="3" t="str">
        <f>VLOOKUP(P585,BulletColor!A$2:B608,2)</f>
        <v>0,0.1,1</v>
      </c>
      <c r="O585">
        <v>22</v>
      </c>
      <c r="P585" s="2">
        <v>5</v>
      </c>
      <c r="Q585" s="2">
        <f t="shared" si="37"/>
        <v>1</v>
      </c>
    </row>
    <row r="586" spans="1:17" x14ac:dyDescent="0.2">
      <c r="A586" s="1">
        <f t="shared" si="39"/>
        <v>122070</v>
      </c>
      <c r="B586" s="3" t="str">
        <f>VLOOKUP(O586,BulletType!A$1:F$35,2)&amp;VLOOKUP(P586,BulletColor!A$1:C$25,3)</f>
        <v>大光玉深青</v>
      </c>
      <c r="C586" s="3" t="str">
        <f t="shared" si="40"/>
        <v>Bullet122070</v>
      </c>
      <c r="D586" s="2">
        <f>VLOOKUP(O586,BulletType!A$2:N634,9)</f>
        <v>0</v>
      </c>
      <c r="E586" s="2">
        <f>VLOOKUP(O586,BulletType!A$2:N634,10)</f>
        <v>0</v>
      </c>
      <c r="F586" s="3" t="str">
        <f>CONCATENATE(VLOOKUP(O586,BulletType!A$2:I$35,8),VLOOKUP(P586,BulletColor!A$2:D$16,4))</f>
        <v>Bullet122070</v>
      </c>
      <c r="G586" s="3" t="str">
        <f>VLOOKUP(O586,BulletType!A$1:G$35,7)</f>
        <v>2,1</v>
      </c>
      <c r="H586" s="2">
        <f t="shared" si="38"/>
        <v>0</v>
      </c>
      <c r="I586">
        <f>VLOOKUP(O586,BulletType!A$1:F$35,3)</f>
        <v>0</v>
      </c>
      <c r="J586">
        <f>VLOOKUP(O586,BulletType!A$1:F$35,4)</f>
        <v>0</v>
      </c>
      <c r="K586">
        <f>VLOOKUP(O586,BulletType!A$1:F$35,5)</f>
        <v>24</v>
      </c>
      <c r="L586">
        <f>VLOOKUP(O586,BulletType!A$1:F$35,5)</f>
        <v>24</v>
      </c>
      <c r="M586">
        <f>VLOOKUP(O586,BulletType!A$1:F$35,6)</f>
        <v>12</v>
      </c>
      <c r="N586" s="3" t="str">
        <f>VLOOKUP(P586,BulletColor!A$2:B609,2)</f>
        <v>0.25,1,1</v>
      </c>
      <c r="O586">
        <v>22</v>
      </c>
      <c r="P586" s="2">
        <v>7</v>
      </c>
      <c r="Q586" s="2">
        <f t="shared" si="37"/>
        <v>0</v>
      </c>
    </row>
    <row r="587" spans="1:17" x14ac:dyDescent="0.2">
      <c r="A587" s="1">
        <f t="shared" si="39"/>
        <v>122071</v>
      </c>
      <c r="B587" s="3" t="str">
        <f>VLOOKUP(O587,BulletType!A$1:F$35,2)&amp;VLOOKUP(P587,BulletColor!A$1:C$25,3)</f>
        <v>大光玉深青</v>
      </c>
      <c r="C587" s="3" t="str">
        <f t="shared" si="40"/>
        <v>Bullet122070</v>
      </c>
      <c r="D587" s="2">
        <f>VLOOKUP(O587,BulletType!A$2:N635,9)</f>
        <v>0</v>
      </c>
      <c r="E587" s="2">
        <f>VLOOKUP(O587,BulletType!A$2:N635,10)</f>
        <v>0</v>
      </c>
      <c r="F587" s="3" t="str">
        <f>CONCATENATE(VLOOKUP(O587,BulletType!A$2:I$35,8),VLOOKUP(P587,BulletColor!A$2:D$16,4))</f>
        <v>Bullet122070</v>
      </c>
      <c r="G587" s="3" t="str">
        <f>VLOOKUP(O587,BulletType!A$1:G$35,7)</f>
        <v>2,1</v>
      </c>
      <c r="H587" s="2">
        <f t="shared" si="38"/>
        <v>1</v>
      </c>
      <c r="I587">
        <f>VLOOKUP(O587,BulletType!A$1:F$35,3)</f>
        <v>0</v>
      </c>
      <c r="J587">
        <f>VLOOKUP(O587,BulletType!A$1:F$35,4)</f>
        <v>0</v>
      </c>
      <c r="K587">
        <f>VLOOKUP(O587,BulletType!A$1:F$35,5)</f>
        <v>24</v>
      </c>
      <c r="L587">
        <f>VLOOKUP(O587,BulletType!A$1:F$35,5)</f>
        <v>24</v>
      </c>
      <c r="M587">
        <f>VLOOKUP(O587,BulletType!A$1:F$35,6)</f>
        <v>12</v>
      </c>
      <c r="N587" s="3" t="str">
        <f>VLOOKUP(P587,BulletColor!A$2:B610,2)</f>
        <v>0.25,1,1</v>
      </c>
      <c r="O587">
        <v>22</v>
      </c>
      <c r="P587" s="2">
        <v>7</v>
      </c>
      <c r="Q587" s="2">
        <f t="shared" si="37"/>
        <v>1</v>
      </c>
    </row>
    <row r="588" spans="1:17" x14ac:dyDescent="0.2">
      <c r="A588" s="1">
        <f t="shared" si="39"/>
        <v>122090</v>
      </c>
      <c r="B588" s="3" t="str">
        <f>VLOOKUP(O588,BulletType!A$1:F$35,2)&amp;VLOOKUP(P588,BulletColor!A$1:C$25,3)</f>
        <v>大光玉深绿</v>
      </c>
      <c r="C588" s="3" t="str">
        <f t="shared" si="40"/>
        <v>Bullet122090</v>
      </c>
      <c r="D588" s="2">
        <f>VLOOKUP(O588,BulletType!A$2:N636,9)</f>
        <v>0</v>
      </c>
      <c r="E588" s="2">
        <f>VLOOKUP(O588,BulletType!A$2:N636,10)</f>
        <v>0</v>
      </c>
      <c r="F588" s="3" t="str">
        <f>CONCATENATE(VLOOKUP(O588,BulletType!A$2:I$35,8),VLOOKUP(P588,BulletColor!A$2:D$16,4))</f>
        <v>Bullet122090</v>
      </c>
      <c r="G588" s="3" t="str">
        <f>VLOOKUP(O588,BulletType!A$1:G$35,7)</f>
        <v>2,1</v>
      </c>
      <c r="H588" s="2">
        <f t="shared" si="38"/>
        <v>0</v>
      </c>
      <c r="I588">
        <f>VLOOKUP(O588,BulletType!A$1:F$35,3)</f>
        <v>0</v>
      </c>
      <c r="J588">
        <f>VLOOKUP(O588,BulletType!A$1:F$35,4)</f>
        <v>0</v>
      </c>
      <c r="K588">
        <f>VLOOKUP(O588,BulletType!A$1:F$35,5)</f>
        <v>24</v>
      </c>
      <c r="L588">
        <f>VLOOKUP(O588,BulletType!A$1:F$35,5)</f>
        <v>24</v>
      </c>
      <c r="M588">
        <f>VLOOKUP(O588,BulletType!A$1:F$35,6)</f>
        <v>12</v>
      </c>
      <c r="N588" s="3" t="str">
        <f>VLOOKUP(P588,BulletColor!A$2:B611,2)</f>
        <v>0.36,0.78,1</v>
      </c>
      <c r="O588">
        <v>22</v>
      </c>
      <c r="P588" s="2">
        <v>9</v>
      </c>
      <c r="Q588" s="2">
        <f t="shared" si="37"/>
        <v>0</v>
      </c>
    </row>
    <row r="589" spans="1:17" x14ac:dyDescent="0.2">
      <c r="A589" s="1">
        <f t="shared" si="39"/>
        <v>122091</v>
      </c>
      <c r="B589" s="3" t="str">
        <f>VLOOKUP(O589,BulletType!A$1:F$35,2)&amp;VLOOKUP(P589,BulletColor!A$1:C$25,3)</f>
        <v>大光玉深绿</v>
      </c>
      <c r="C589" s="3" t="str">
        <f t="shared" si="40"/>
        <v>Bullet122090</v>
      </c>
      <c r="D589" s="2">
        <f>VLOOKUP(O589,BulletType!A$2:N637,9)</f>
        <v>0</v>
      </c>
      <c r="E589" s="2">
        <f>VLOOKUP(O589,BulletType!A$2:N637,10)</f>
        <v>0</v>
      </c>
      <c r="F589" s="3" t="str">
        <f>CONCATENATE(VLOOKUP(O589,BulletType!A$2:I$35,8),VLOOKUP(P589,BulletColor!A$2:D$16,4))</f>
        <v>Bullet122090</v>
      </c>
      <c r="G589" s="3" t="str">
        <f>VLOOKUP(O589,BulletType!A$1:G$35,7)</f>
        <v>2,1</v>
      </c>
      <c r="H589" s="2">
        <f t="shared" si="38"/>
        <v>1</v>
      </c>
      <c r="I589">
        <f>VLOOKUP(O589,BulletType!A$1:F$35,3)</f>
        <v>0</v>
      </c>
      <c r="J589">
        <f>VLOOKUP(O589,BulletType!A$1:F$35,4)</f>
        <v>0</v>
      </c>
      <c r="K589">
        <f>VLOOKUP(O589,BulletType!A$1:F$35,5)</f>
        <v>24</v>
      </c>
      <c r="L589">
        <f>VLOOKUP(O589,BulletType!A$1:F$35,5)</f>
        <v>24</v>
      </c>
      <c r="M589">
        <f>VLOOKUP(O589,BulletType!A$1:F$35,6)</f>
        <v>12</v>
      </c>
      <c r="N589" s="3" t="str">
        <f>VLOOKUP(P589,BulletColor!A$2:B612,2)</f>
        <v>0.36,0.78,1</v>
      </c>
      <c r="O589">
        <v>22</v>
      </c>
      <c r="P589" s="2">
        <v>9</v>
      </c>
      <c r="Q589" s="2">
        <f t="shared" si="37"/>
        <v>1</v>
      </c>
    </row>
    <row r="590" spans="1:17" x14ac:dyDescent="0.2">
      <c r="A590" s="1">
        <f t="shared" si="39"/>
        <v>122130</v>
      </c>
      <c r="B590" s="3" t="str">
        <f>VLOOKUP(O590,BulletType!A$1:F$35,2)&amp;VLOOKUP(P590,BulletColor!A$1:C$25,3)</f>
        <v>大光玉浅黄</v>
      </c>
      <c r="C590" s="3" t="str">
        <f t="shared" si="40"/>
        <v>Bullet122130</v>
      </c>
      <c r="D590" s="2">
        <f>VLOOKUP(O590,BulletType!A$2:N638,9)</f>
        <v>0</v>
      </c>
      <c r="E590" s="2">
        <f>VLOOKUP(O590,BulletType!A$2:N638,10)</f>
        <v>0</v>
      </c>
      <c r="F590" s="3" t="str">
        <f>CONCATENATE(VLOOKUP(O590,BulletType!A$2:I$35,8),VLOOKUP(P590,BulletColor!A$2:D$16,4))</f>
        <v>Bullet122130</v>
      </c>
      <c r="G590" s="3" t="str">
        <f>VLOOKUP(O590,BulletType!A$1:G$35,7)</f>
        <v>2,1</v>
      </c>
      <c r="H590" s="2">
        <f t="shared" si="38"/>
        <v>0</v>
      </c>
      <c r="I590">
        <f>VLOOKUP(O590,BulletType!A$1:F$35,3)</f>
        <v>0</v>
      </c>
      <c r="J590">
        <f>VLOOKUP(O590,BulletType!A$1:F$35,4)</f>
        <v>0</v>
      </c>
      <c r="K590">
        <f>VLOOKUP(O590,BulletType!A$1:F$35,5)</f>
        <v>24</v>
      </c>
      <c r="L590">
        <f>VLOOKUP(O590,BulletType!A$1:F$35,5)</f>
        <v>24</v>
      </c>
      <c r="M590">
        <f>VLOOKUP(O590,BulletType!A$1:F$35,6)</f>
        <v>12</v>
      </c>
      <c r="N590" s="3" t="str">
        <f>VLOOKUP(P590,BulletColor!A$2:B613,2)</f>
        <v>0.9,1,0.4</v>
      </c>
      <c r="O590">
        <v>22</v>
      </c>
      <c r="P590" s="2">
        <v>13</v>
      </c>
      <c r="Q590" s="2">
        <f t="shared" si="37"/>
        <v>0</v>
      </c>
    </row>
    <row r="591" spans="1:17" x14ac:dyDescent="0.2">
      <c r="A591" s="1">
        <f t="shared" si="39"/>
        <v>122131</v>
      </c>
      <c r="B591" s="3" t="str">
        <f>VLOOKUP(O591,BulletType!A$1:F$35,2)&amp;VLOOKUP(P591,BulletColor!A$1:C$25,3)</f>
        <v>大光玉浅黄</v>
      </c>
      <c r="C591" s="3" t="str">
        <f t="shared" si="40"/>
        <v>Bullet122130</v>
      </c>
      <c r="D591" s="2">
        <f>VLOOKUP(O591,BulletType!A$2:N639,9)</f>
        <v>0</v>
      </c>
      <c r="E591" s="2">
        <f>VLOOKUP(O591,BulletType!A$2:N639,10)</f>
        <v>0</v>
      </c>
      <c r="F591" s="3" t="str">
        <f>CONCATENATE(VLOOKUP(O591,BulletType!A$2:I$35,8),VLOOKUP(P591,BulletColor!A$2:D$16,4))</f>
        <v>Bullet122130</v>
      </c>
      <c r="G591" s="3" t="str">
        <f>VLOOKUP(O591,BulletType!A$1:G$35,7)</f>
        <v>2,1</v>
      </c>
      <c r="H591" s="2">
        <f t="shared" si="38"/>
        <v>1</v>
      </c>
      <c r="I591">
        <f>VLOOKUP(O591,BulletType!A$1:F$35,3)</f>
        <v>0</v>
      </c>
      <c r="J591">
        <f>VLOOKUP(O591,BulletType!A$1:F$35,4)</f>
        <v>0</v>
      </c>
      <c r="K591">
        <f>VLOOKUP(O591,BulletType!A$1:F$35,5)</f>
        <v>24</v>
      </c>
      <c r="L591">
        <f>VLOOKUP(O591,BulletType!A$1:F$35,5)</f>
        <v>24</v>
      </c>
      <c r="M591">
        <f>VLOOKUP(O591,BulletType!A$1:F$35,6)</f>
        <v>12</v>
      </c>
      <c r="N591" s="3" t="str">
        <f>VLOOKUP(P591,BulletColor!A$2:B614,2)</f>
        <v>0.9,1,0.4</v>
      </c>
      <c r="O591">
        <v>22</v>
      </c>
      <c r="P591" s="2">
        <v>13</v>
      </c>
      <c r="Q591" s="2">
        <f t="shared" si="37"/>
        <v>1</v>
      </c>
    </row>
    <row r="592" spans="1:17" x14ac:dyDescent="0.2">
      <c r="A592" s="1">
        <f t="shared" si="39"/>
        <v>122150</v>
      </c>
      <c r="B592" s="3" t="str">
        <f>VLOOKUP(O592,BulletType!A$1:F$35,2)&amp;VLOOKUP(P592,BulletColor!A$1:C$25,3)</f>
        <v>大光玉白</v>
      </c>
      <c r="C592" s="3" t="str">
        <f t="shared" si="40"/>
        <v>Bullet122150</v>
      </c>
      <c r="D592" s="2">
        <f>VLOOKUP(O592,BulletType!A$2:N640,9)</f>
        <v>0</v>
      </c>
      <c r="E592" s="2">
        <f>VLOOKUP(O592,BulletType!A$2:N640,10)</f>
        <v>0</v>
      </c>
      <c r="F592" s="3" t="str">
        <f>CONCATENATE(VLOOKUP(O592,BulletType!A$2:I$35,8),VLOOKUP(P592,BulletColor!A$2:D$16,4))</f>
        <v>Bullet122130</v>
      </c>
      <c r="G592" s="3" t="str">
        <f>VLOOKUP(O592,BulletType!A$1:G$35,7)</f>
        <v>2,1</v>
      </c>
      <c r="H592" s="2">
        <f t="shared" si="38"/>
        <v>0</v>
      </c>
      <c r="I592">
        <f>VLOOKUP(O592,BulletType!A$1:F$35,3)</f>
        <v>0</v>
      </c>
      <c r="J592">
        <f>VLOOKUP(O592,BulletType!A$1:F$35,4)</f>
        <v>0</v>
      </c>
      <c r="K592">
        <f>VLOOKUP(O592,BulletType!A$1:F$35,5)</f>
        <v>24</v>
      </c>
      <c r="L592">
        <f>VLOOKUP(O592,BulletType!A$1:F$35,5)</f>
        <v>24</v>
      </c>
      <c r="M592">
        <f>VLOOKUP(O592,BulletType!A$1:F$35,6)</f>
        <v>12</v>
      </c>
      <c r="N592" s="3" t="str">
        <f>VLOOKUP(P592,BulletColor!A$2:B615,2)</f>
        <v>0.8,0.8,0.8</v>
      </c>
      <c r="O592">
        <v>22</v>
      </c>
      <c r="P592" s="2">
        <v>15</v>
      </c>
      <c r="Q592" s="2">
        <f t="shared" si="37"/>
        <v>0</v>
      </c>
    </row>
    <row r="593" spans="1:17" x14ac:dyDescent="0.2">
      <c r="A593" s="1">
        <f t="shared" si="39"/>
        <v>122151</v>
      </c>
      <c r="B593" s="3" t="str">
        <f>VLOOKUP(O593,BulletType!A$1:F$35,2)&amp;VLOOKUP(P593,BulletColor!A$1:C$25,3)</f>
        <v>大光玉白</v>
      </c>
      <c r="C593" s="3" t="str">
        <f t="shared" si="40"/>
        <v>Bullet122150</v>
      </c>
      <c r="D593" s="2">
        <f>VLOOKUP(O593,BulletType!A$2:N641,9)</f>
        <v>0</v>
      </c>
      <c r="E593" s="2">
        <f>VLOOKUP(O593,BulletType!A$2:N641,10)</f>
        <v>0</v>
      </c>
      <c r="F593" s="3" t="str">
        <f>CONCATENATE(VLOOKUP(O593,BulletType!A$2:I$35,8),VLOOKUP(P593,BulletColor!A$2:D$16,4))</f>
        <v>Bullet122130</v>
      </c>
      <c r="G593" s="3" t="str">
        <f>VLOOKUP(O593,BulletType!A$1:G$35,7)</f>
        <v>2,1</v>
      </c>
      <c r="H593" s="2">
        <f t="shared" si="38"/>
        <v>1</v>
      </c>
      <c r="I593">
        <f>VLOOKUP(O593,BulletType!A$1:F$35,3)</f>
        <v>0</v>
      </c>
      <c r="J593">
        <f>VLOOKUP(O593,BulletType!A$1:F$35,4)</f>
        <v>0</v>
      </c>
      <c r="K593">
        <f>VLOOKUP(O593,BulletType!A$1:F$35,5)</f>
        <v>24</v>
      </c>
      <c r="L593">
        <f>VLOOKUP(O593,BulletType!A$1:F$35,5)</f>
        <v>24</v>
      </c>
      <c r="M593">
        <f>VLOOKUP(O593,BulletType!A$1:F$35,6)</f>
        <v>12</v>
      </c>
      <c r="N593" s="3" t="str">
        <f>VLOOKUP(P593,BulletColor!A$2:B616,2)</f>
        <v>0.8,0.8,0.8</v>
      </c>
      <c r="O593">
        <v>22</v>
      </c>
      <c r="P593" s="2">
        <v>15</v>
      </c>
      <c r="Q593" s="2">
        <f t="shared" si="37"/>
        <v>1</v>
      </c>
    </row>
    <row r="594" spans="1:17" x14ac:dyDescent="0.2">
      <c r="A594" s="1">
        <f t="shared" si="39"/>
        <v>123000</v>
      </c>
      <c r="B594" s="3" t="str">
        <f>VLOOKUP(O594,BulletType!A$1:F$35,2)&amp;VLOOKUP(P594,BulletColor!A$1:C$25,3)</f>
        <v>箭弹灰</v>
      </c>
      <c r="C594" s="3" t="str">
        <f t="shared" si="40"/>
        <v>Bullet123000</v>
      </c>
      <c r="D594" s="2">
        <f>VLOOKUP(O594,BulletType!A$2:N642,9)</f>
        <v>0</v>
      </c>
      <c r="E594" s="2">
        <f>VLOOKUP(O594,BulletType!A$2:N642,10)</f>
        <v>0</v>
      </c>
      <c r="F594" s="3" t="str">
        <f>CONCATENATE(VLOOKUP(O594,BulletType!A$2:I$35,8),VLOOKUP(P594,BulletColor!A$2:D$16,4))</f>
        <v>Bullet200000</v>
      </c>
      <c r="G594" s="3" t="str">
        <f>VLOOKUP(O594,BulletType!A$1:G$35,7)</f>
        <v>2.4,0.61</v>
      </c>
      <c r="H594" s="2">
        <f t="shared" si="38"/>
        <v>0</v>
      </c>
      <c r="I594">
        <f>VLOOKUP(O594,BulletType!A$1:F$35,3)</f>
        <v>1</v>
      </c>
      <c r="J594">
        <f>VLOOKUP(O594,BulletType!A$1:F$35,4)</f>
        <v>0</v>
      </c>
      <c r="K594">
        <f>VLOOKUP(O594,BulletType!A$1:F$35,5)</f>
        <v>8</v>
      </c>
      <c r="L594">
        <f>VLOOKUP(O594,BulletType!A$1:F$35,5)</f>
        <v>8</v>
      </c>
      <c r="M594">
        <f>VLOOKUP(O594,BulletType!A$1:F$35,6)</f>
        <v>4</v>
      </c>
      <c r="N594" s="3" t="str">
        <f>VLOOKUP(P594,BulletColor!A$2:B617,2)</f>
        <v>0.5,0.5,0.5</v>
      </c>
      <c r="O594">
        <v>23</v>
      </c>
      <c r="P594" s="2">
        <v>0</v>
      </c>
      <c r="Q594" s="2">
        <f t="shared" si="37"/>
        <v>0</v>
      </c>
    </row>
    <row r="595" spans="1:17" x14ac:dyDescent="0.2">
      <c r="A595" s="1">
        <f t="shared" si="39"/>
        <v>123001</v>
      </c>
      <c r="B595" s="3" t="str">
        <f>VLOOKUP(O595,BulletType!A$1:F$35,2)&amp;VLOOKUP(P595,BulletColor!A$1:C$25,3)</f>
        <v>箭弹灰</v>
      </c>
      <c r="C595" s="3" t="str">
        <f t="shared" si="40"/>
        <v>Bullet123000</v>
      </c>
      <c r="D595" s="2">
        <f>VLOOKUP(O595,BulletType!A$2:N643,9)</f>
        <v>0</v>
      </c>
      <c r="E595" s="2">
        <f>VLOOKUP(O595,BulletType!A$2:N643,10)</f>
        <v>0</v>
      </c>
      <c r="F595" s="3" t="str">
        <f>CONCATENATE(VLOOKUP(O595,BulletType!A$2:I$35,8),VLOOKUP(P595,BulletColor!A$2:D$16,4))</f>
        <v>Bullet200000</v>
      </c>
      <c r="G595" s="3" t="str">
        <f>VLOOKUP(O595,BulletType!A$1:G$35,7)</f>
        <v>2.4,0.61</v>
      </c>
      <c r="H595" s="2">
        <f t="shared" si="38"/>
        <v>1</v>
      </c>
      <c r="I595">
        <f>VLOOKUP(O595,BulletType!A$1:F$35,3)</f>
        <v>1</v>
      </c>
      <c r="J595">
        <f>VLOOKUP(O595,BulletType!A$1:F$35,4)</f>
        <v>0</v>
      </c>
      <c r="K595">
        <f>VLOOKUP(O595,BulletType!A$1:F$35,5)</f>
        <v>8</v>
      </c>
      <c r="L595">
        <f>VLOOKUP(O595,BulletType!A$1:F$35,5)</f>
        <v>8</v>
      </c>
      <c r="M595">
        <f>VLOOKUP(O595,BulletType!A$1:F$35,6)</f>
        <v>4</v>
      </c>
      <c r="N595" s="3" t="str">
        <f>VLOOKUP(P595,BulletColor!A$2:B618,2)</f>
        <v>0.5,0.5,0.5</v>
      </c>
      <c r="O595">
        <v>23</v>
      </c>
      <c r="P595" s="2">
        <v>0</v>
      </c>
      <c r="Q595" s="2">
        <f t="shared" si="37"/>
        <v>1</v>
      </c>
    </row>
    <row r="596" spans="1:17" x14ac:dyDescent="0.2">
      <c r="A596" s="1">
        <f t="shared" si="39"/>
        <v>123010</v>
      </c>
      <c r="B596" s="3" t="str">
        <f>VLOOKUP(O596,BulletType!A$1:F$35,2)&amp;VLOOKUP(P596,BulletColor!A$1:C$25,3)</f>
        <v>箭弹深红</v>
      </c>
      <c r="C596" s="3" t="str">
        <f t="shared" si="40"/>
        <v>Bullet123010</v>
      </c>
      <c r="D596" s="2">
        <f>VLOOKUP(O596,BulletType!A$2:N644,9)</f>
        <v>0</v>
      </c>
      <c r="E596" s="2">
        <f>VLOOKUP(O596,BulletType!A$2:N644,10)</f>
        <v>0</v>
      </c>
      <c r="F596" s="3" t="str">
        <f>CONCATENATE(VLOOKUP(O596,BulletType!A$2:I$35,8),VLOOKUP(P596,BulletColor!A$2:D$16,4))</f>
        <v>Bullet200010</v>
      </c>
      <c r="G596" s="3" t="str">
        <f>VLOOKUP(O596,BulletType!A$1:G$35,7)</f>
        <v>2.4,0.61</v>
      </c>
      <c r="H596" s="2">
        <f t="shared" si="38"/>
        <v>0</v>
      </c>
      <c r="I596">
        <f>VLOOKUP(O596,BulletType!A$1:F$35,3)</f>
        <v>1</v>
      </c>
      <c r="J596">
        <f>VLOOKUP(O596,BulletType!A$1:F$35,4)</f>
        <v>0</v>
      </c>
      <c r="K596">
        <f>VLOOKUP(O596,BulletType!A$1:F$35,5)</f>
        <v>8</v>
      </c>
      <c r="L596">
        <f>VLOOKUP(O596,BulletType!A$1:F$35,5)</f>
        <v>8</v>
      </c>
      <c r="M596">
        <f>VLOOKUP(O596,BulletType!A$1:F$35,6)</f>
        <v>4</v>
      </c>
      <c r="N596" s="3" t="str">
        <f>VLOOKUP(P596,BulletColor!A$2:B619,2)</f>
        <v>0.625,0.3,0.3</v>
      </c>
      <c r="O596">
        <v>23</v>
      </c>
      <c r="P596" s="2">
        <v>1</v>
      </c>
      <c r="Q596" s="2">
        <f t="shared" si="37"/>
        <v>0</v>
      </c>
    </row>
    <row r="597" spans="1:17" x14ac:dyDescent="0.2">
      <c r="A597" s="1">
        <f t="shared" si="39"/>
        <v>123011</v>
      </c>
      <c r="B597" s="3" t="str">
        <f>VLOOKUP(O597,BulletType!A$1:F$35,2)&amp;VLOOKUP(P597,BulletColor!A$1:C$25,3)</f>
        <v>箭弹深红</v>
      </c>
      <c r="C597" s="3" t="str">
        <f t="shared" si="40"/>
        <v>Bullet123010</v>
      </c>
      <c r="D597" s="2">
        <f>VLOOKUP(O597,BulletType!A$2:N645,9)</f>
        <v>0</v>
      </c>
      <c r="E597" s="2">
        <f>VLOOKUP(O597,BulletType!A$2:N645,10)</f>
        <v>0</v>
      </c>
      <c r="F597" s="3" t="str">
        <f>CONCATENATE(VLOOKUP(O597,BulletType!A$2:I$35,8),VLOOKUP(P597,BulletColor!A$2:D$16,4))</f>
        <v>Bullet200010</v>
      </c>
      <c r="G597" s="3" t="str">
        <f>VLOOKUP(O597,BulletType!A$1:G$35,7)</f>
        <v>2.4,0.61</v>
      </c>
      <c r="H597" s="2">
        <f t="shared" si="38"/>
        <v>1</v>
      </c>
      <c r="I597">
        <f>VLOOKUP(O597,BulletType!A$1:F$35,3)</f>
        <v>1</v>
      </c>
      <c r="J597">
        <f>VLOOKUP(O597,BulletType!A$1:F$35,4)</f>
        <v>0</v>
      </c>
      <c r="K597">
        <f>VLOOKUP(O597,BulletType!A$1:F$35,5)</f>
        <v>8</v>
      </c>
      <c r="L597">
        <f>VLOOKUP(O597,BulletType!A$1:F$35,5)</f>
        <v>8</v>
      </c>
      <c r="M597">
        <f>VLOOKUP(O597,BulletType!A$1:F$35,6)</f>
        <v>4</v>
      </c>
      <c r="N597" s="3" t="str">
        <f>VLOOKUP(P597,BulletColor!A$2:B620,2)</f>
        <v>0.625,0.3,0.3</v>
      </c>
      <c r="O597">
        <v>23</v>
      </c>
      <c r="P597" s="2">
        <v>1</v>
      </c>
      <c r="Q597" s="2">
        <f t="shared" si="37"/>
        <v>1</v>
      </c>
    </row>
    <row r="598" spans="1:17" x14ac:dyDescent="0.2">
      <c r="A598" s="1">
        <f t="shared" si="39"/>
        <v>123030</v>
      </c>
      <c r="B598" s="3" t="str">
        <f>VLOOKUP(O598,BulletType!A$1:F$35,2)&amp;VLOOKUP(P598,BulletColor!A$1:C$25,3)</f>
        <v>箭弹深紫</v>
      </c>
      <c r="C598" s="3" t="str">
        <f t="shared" si="40"/>
        <v>Bullet123030</v>
      </c>
      <c r="D598" s="2">
        <f>VLOOKUP(O598,BulletType!A$2:N646,9)</f>
        <v>0</v>
      </c>
      <c r="E598" s="2">
        <f>VLOOKUP(O598,BulletType!A$2:N646,10)</f>
        <v>0</v>
      </c>
      <c r="F598" s="3" t="str">
        <f>CONCATENATE(VLOOKUP(O598,BulletType!A$2:I$35,8),VLOOKUP(P598,BulletColor!A$2:D$16,4))</f>
        <v>Bullet200030</v>
      </c>
      <c r="G598" s="3" t="str">
        <f>VLOOKUP(O598,BulletType!A$1:G$35,7)</f>
        <v>2.4,0.61</v>
      </c>
      <c r="H598" s="2">
        <f t="shared" si="38"/>
        <v>0</v>
      </c>
      <c r="I598">
        <f>VLOOKUP(O598,BulletType!A$1:F$35,3)</f>
        <v>1</v>
      </c>
      <c r="J598">
        <f>VLOOKUP(O598,BulletType!A$1:F$35,4)</f>
        <v>0</v>
      </c>
      <c r="K598">
        <f>VLOOKUP(O598,BulletType!A$1:F$35,5)</f>
        <v>8</v>
      </c>
      <c r="L598">
        <f>VLOOKUP(O598,BulletType!A$1:F$35,5)</f>
        <v>8</v>
      </c>
      <c r="M598">
        <f>VLOOKUP(O598,BulletType!A$1:F$35,6)</f>
        <v>4</v>
      </c>
      <c r="N598" s="3" t="str">
        <f>VLOOKUP(P598,BulletColor!A$2:B621,2)</f>
        <v>1,0.65,1</v>
      </c>
      <c r="O598">
        <v>23</v>
      </c>
      <c r="P598" s="2">
        <v>3</v>
      </c>
      <c r="Q598" s="2">
        <f t="shared" si="37"/>
        <v>0</v>
      </c>
    </row>
    <row r="599" spans="1:17" x14ac:dyDescent="0.2">
      <c r="A599" s="1">
        <f t="shared" si="39"/>
        <v>123031</v>
      </c>
      <c r="B599" s="3" t="str">
        <f>VLOOKUP(O599,BulletType!A$1:F$35,2)&amp;VLOOKUP(P599,BulletColor!A$1:C$25,3)</f>
        <v>箭弹深紫</v>
      </c>
      <c r="C599" s="3" t="str">
        <f t="shared" si="40"/>
        <v>Bullet123030</v>
      </c>
      <c r="D599" s="2">
        <f>VLOOKUP(O599,BulletType!A$2:N647,9)</f>
        <v>0</v>
      </c>
      <c r="E599" s="2">
        <f>VLOOKUP(O599,BulletType!A$2:N647,10)</f>
        <v>0</v>
      </c>
      <c r="F599" s="3" t="str">
        <f>CONCATENATE(VLOOKUP(O599,BulletType!A$2:I$35,8),VLOOKUP(P599,BulletColor!A$2:D$16,4))</f>
        <v>Bullet200030</v>
      </c>
      <c r="G599" s="3" t="str">
        <f>VLOOKUP(O599,BulletType!A$1:G$35,7)</f>
        <v>2.4,0.61</v>
      </c>
      <c r="H599" s="2">
        <f t="shared" si="38"/>
        <v>1</v>
      </c>
      <c r="I599">
        <f>VLOOKUP(O599,BulletType!A$1:F$35,3)</f>
        <v>1</v>
      </c>
      <c r="J599">
        <f>VLOOKUP(O599,BulletType!A$1:F$35,4)</f>
        <v>0</v>
      </c>
      <c r="K599">
        <f>VLOOKUP(O599,BulletType!A$1:F$35,5)</f>
        <v>8</v>
      </c>
      <c r="L599">
        <f>VLOOKUP(O599,BulletType!A$1:F$35,5)</f>
        <v>8</v>
      </c>
      <c r="M599">
        <f>VLOOKUP(O599,BulletType!A$1:F$35,6)</f>
        <v>4</v>
      </c>
      <c r="N599" s="3" t="str">
        <f>VLOOKUP(P599,BulletColor!A$2:B622,2)</f>
        <v>1,0.65,1</v>
      </c>
      <c r="O599">
        <v>23</v>
      </c>
      <c r="P599" s="2">
        <v>3</v>
      </c>
      <c r="Q599" s="2">
        <f t="shared" si="37"/>
        <v>1</v>
      </c>
    </row>
    <row r="600" spans="1:17" x14ac:dyDescent="0.2">
      <c r="A600" s="1">
        <f t="shared" si="39"/>
        <v>123050</v>
      </c>
      <c r="B600" s="3" t="str">
        <f>VLOOKUP(O600,BulletType!A$1:F$35,2)&amp;VLOOKUP(P600,BulletColor!A$1:C$25,3)</f>
        <v>箭弹深蓝</v>
      </c>
      <c r="C600" s="3" t="str">
        <f t="shared" si="40"/>
        <v>Bullet123050</v>
      </c>
      <c r="D600" s="2">
        <f>VLOOKUP(O600,BulletType!A$2:N648,9)</f>
        <v>0</v>
      </c>
      <c r="E600" s="2">
        <f>VLOOKUP(O600,BulletType!A$2:N648,10)</f>
        <v>0</v>
      </c>
      <c r="F600" s="3" t="str">
        <f>CONCATENATE(VLOOKUP(O600,BulletType!A$2:I$35,8),VLOOKUP(P600,BulletColor!A$2:D$16,4))</f>
        <v>Bullet200050</v>
      </c>
      <c r="G600" s="3" t="str">
        <f>VLOOKUP(O600,BulletType!A$1:G$35,7)</f>
        <v>2.4,0.61</v>
      </c>
      <c r="H600" s="2">
        <f t="shared" si="38"/>
        <v>0</v>
      </c>
      <c r="I600">
        <f>VLOOKUP(O600,BulletType!A$1:F$35,3)</f>
        <v>1</v>
      </c>
      <c r="J600">
        <f>VLOOKUP(O600,BulletType!A$1:F$35,4)</f>
        <v>0</v>
      </c>
      <c r="K600">
        <f>VLOOKUP(O600,BulletType!A$1:F$35,5)</f>
        <v>8</v>
      </c>
      <c r="L600">
        <f>VLOOKUP(O600,BulletType!A$1:F$35,5)</f>
        <v>8</v>
      </c>
      <c r="M600">
        <f>VLOOKUP(O600,BulletType!A$1:F$35,6)</f>
        <v>4</v>
      </c>
      <c r="N600" s="3" t="str">
        <f>VLOOKUP(P600,BulletColor!A$2:B623,2)</f>
        <v>0,0.1,1</v>
      </c>
      <c r="O600">
        <v>23</v>
      </c>
      <c r="P600" s="2">
        <v>5</v>
      </c>
      <c r="Q600" s="2">
        <f t="shared" si="37"/>
        <v>0</v>
      </c>
    </row>
    <row r="601" spans="1:17" x14ac:dyDescent="0.2">
      <c r="A601" s="1">
        <f t="shared" si="39"/>
        <v>123051</v>
      </c>
      <c r="B601" s="3" t="str">
        <f>VLOOKUP(O601,BulletType!A$1:F$35,2)&amp;VLOOKUP(P601,BulletColor!A$1:C$25,3)</f>
        <v>箭弹深蓝</v>
      </c>
      <c r="C601" s="3" t="str">
        <f t="shared" si="40"/>
        <v>Bullet123050</v>
      </c>
      <c r="D601" s="2">
        <f>VLOOKUP(O601,BulletType!A$2:N649,9)</f>
        <v>0</v>
      </c>
      <c r="E601" s="2">
        <f>VLOOKUP(O601,BulletType!A$2:N649,10)</f>
        <v>0</v>
      </c>
      <c r="F601" s="3" t="str">
        <f>CONCATENATE(VLOOKUP(O601,BulletType!A$2:I$35,8),VLOOKUP(P601,BulletColor!A$2:D$16,4))</f>
        <v>Bullet200050</v>
      </c>
      <c r="G601" s="3" t="str">
        <f>VLOOKUP(O601,BulletType!A$1:G$35,7)</f>
        <v>2.4,0.61</v>
      </c>
      <c r="H601" s="2">
        <f t="shared" si="38"/>
        <v>1</v>
      </c>
      <c r="I601">
        <f>VLOOKUP(O601,BulletType!A$1:F$35,3)</f>
        <v>1</v>
      </c>
      <c r="J601">
        <f>VLOOKUP(O601,BulletType!A$1:F$35,4)</f>
        <v>0</v>
      </c>
      <c r="K601">
        <f>VLOOKUP(O601,BulletType!A$1:F$35,5)</f>
        <v>8</v>
      </c>
      <c r="L601">
        <f>VLOOKUP(O601,BulletType!A$1:F$35,5)</f>
        <v>8</v>
      </c>
      <c r="M601">
        <f>VLOOKUP(O601,BulletType!A$1:F$35,6)</f>
        <v>4</v>
      </c>
      <c r="N601" s="3" t="str">
        <f>VLOOKUP(P601,BulletColor!A$2:B624,2)</f>
        <v>0,0.1,1</v>
      </c>
      <c r="O601">
        <v>23</v>
      </c>
      <c r="P601" s="2">
        <v>5</v>
      </c>
      <c r="Q601" s="2">
        <f t="shared" si="37"/>
        <v>1</v>
      </c>
    </row>
    <row r="602" spans="1:17" x14ac:dyDescent="0.2">
      <c r="A602" s="1">
        <f t="shared" si="39"/>
        <v>123070</v>
      </c>
      <c r="B602" s="3" t="str">
        <f>VLOOKUP(O602,BulletType!A$1:F$35,2)&amp;VLOOKUP(P602,BulletColor!A$1:C$25,3)</f>
        <v>箭弹深青</v>
      </c>
      <c r="C602" s="3" t="str">
        <f t="shared" si="40"/>
        <v>Bullet123070</v>
      </c>
      <c r="D602" s="2">
        <f>VLOOKUP(O602,BulletType!A$2:N650,9)</f>
        <v>0</v>
      </c>
      <c r="E602" s="2">
        <f>VLOOKUP(O602,BulletType!A$2:N650,10)</f>
        <v>0</v>
      </c>
      <c r="F602" s="3" t="str">
        <f>CONCATENATE(VLOOKUP(O602,BulletType!A$2:I$35,8),VLOOKUP(P602,BulletColor!A$2:D$16,4))</f>
        <v>Bullet200070</v>
      </c>
      <c r="G602" s="3" t="str">
        <f>VLOOKUP(O602,BulletType!A$1:G$35,7)</f>
        <v>2.4,0.61</v>
      </c>
      <c r="H602" s="2">
        <f t="shared" si="38"/>
        <v>0</v>
      </c>
      <c r="I602">
        <f>VLOOKUP(O602,BulletType!A$1:F$35,3)</f>
        <v>1</v>
      </c>
      <c r="J602">
        <f>VLOOKUP(O602,BulletType!A$1:F$35,4)</f>
        <v>0</v>
      </c>
      <c r="K602">
        <f>VLOOKUP(O602,BulletType!A$1:F$35,5)</f>
        <v>8</v>
      </c>
      <c r="L602">
        <f>VLOOKUP(O602,BulletType!A$1:F$35,5)</f>
        <v>8</v>
      </c>
      <c r="M602">
        <f>VLOOKUP(O602,BulletType!A$1:F$35,6)</f>
        <v>4</v>
      </c>
      <c r="N602" s="3" t="str">
        <f>VLOOKUP(P602,BulletColor!A$2:B625,2)</f>
        <v>0.25,1,1</v>
      </c>
      <c r="O602">
        <v>23</v>
      </c>
      <c r="P602" s="2">
        <v>7</v>
      </c>
      <c r="Q602" s="2">
        <f t="shared" si="37"/>
        <v>0</v>
      </c>
    </row>
    <row r="603" spans="1:17" x14ac:dyDescent="0.2">
      <c r="A603" s="1">
        <f t="shared" si="39"/>
        <v>123071</v>
      </c>
      <c r="B603" s="3" t="str">
        <f>VLOOKUP(O603,BulletType!A$1:F$35,2)&amp;VLOOKUP(P603,BulletColor!A$1:C$25,3)</f>
        <v>箭弹深青</v>
      </c>
      <c r="C603" s="3" t="str">
        <f t="shared" si="40"/>
        <v>Bullet123070</v>
      </c>
      <c r="D603" s="2">
        <f>VLOOKUP(O603,BulletType!A$2:N651,9)</f>
        <v>0</v>
      </c>
      <c r="E603" s="2">
        <f>VLOOKUP(O603,BulletType!A$2:N651,10)</f>
        <v>0</v>
      </c>
      <c r="F603" s="3" t="str">
        <f>CONCATENATE(VLOOKUP(O603,BulletType!A$2:I$35,8),VLOOKUP(P603,BulletColor!A$2:D$16,4))</f>
        <v>Bullet200070</v>
      </c>
      <c r="G603" s="3" t="str">
        <f>VLOOKUP(O603,BulletType!A$1:G$35,7)</f>
        <v>2.4,0.61</v>
      </c>
      <c r="H603" s="2">
        <f t="shared" si="38"/>
        <v>1</v>
      </c>
      <c r="I603">
        <f>VLOOKUP(O603,BulletType!A$1:F$35,3)</f>
        <v>1</v>
      </c>
      <c r="J603">
        <f>VLOOKUP(O603,BulletType!A$1:F$35,4)</f>
        <v>0</v>
      </c>
      <c r="K603">
        <f>VLOOKUP(O603,BulletType!A$1:F$35,5)</f>
        <v>8</v>
      </c>
      <c r="L603">
        <f>VLOOKUP(O603,BulletType!A$1:F$35,5)</f>
        <v>8</v>
      </c>
      <c r="M603">
        <f>VLOOKUP(O603,BulletType!A$1:F$35,6)</f>
        <v>4</v>
      </c>
      <c r="N603" s="3" t="str">
        <f>VLOOKUP(P603,BulletColor!A$2:B626,2)</f>
        <v>0.25,1,1</v>
      </c>
      <c r="O603">
        <v>23</v>
      </c>
      <c r="P603" s="2">
        <v>7</v>
      </c>
      <c r="Q603" s="2">
        <f t="shared" si="37"/>
        <v>1</v>
      </c>
    </row>
    <row r="604" spans="1:17" x14ac:dyDescent="0.2">
      <c r="A604" s="1">
        <f t="shared" si="39"/>
        <v>123090</v>
      </c>
      <c r="B604" s="3" t="str">
        <f>VLOOKUP(O604,BulletType!A$1:F$35,2)&amp;VLOOKUP(P604,BulletColor!A$1:C$25,3)</f>
        <v>箭弹深绿</v>
      </c>
      <c r="C604" s="3" t="str">
        <f t="shared" si="40"/>
        <v>Bullet123090</v>
      </c>
      <c r="D604" s="2">
        <f>VLOOKUP(O604,BulletType!A$2:N652,9)</f>
        <v>0</v>
      </c>
      <c r="E604" s="2">
        <f>VLOOKUP(O604,BulletType!A$2:N652,10)</f>
        <v>0</v>
      </c>
      <c r="F604" s="3" t="str">
        <f>CONCATENATE(VLOOKUP(O604,BulletType!A$2:I$35,8),VLOOKUP(P604,BulletColor!A$2:D$16,4))</f>
        <v>Bullet200090</v>
      </c>
      <c r="G604" s="3" t="str">
        <f>VLOOKUP(O604,BulletType!A$1:G$35,7)</f>
        <v>2.4,0.61</v>
      </c>
      <c r="H604" s="2">
        <f t="shared" si="38"/>
        <v>0</v>
      </c>
      <c r="I604">
        <f>VLOOKUP(O604,BulletType!A$1:F$35,3)</f>
        <v>1</v>
      </c>
      <c r="J604">
        <f>VLOOKUP(O604,BulletType!A$1:F$35,4)</f>
        <v>0</v>
      </c>
      <c r="K604">
        <f>VLOOKUP(O604,BulletType!A$1:F$35,5)</f>
        <v>8</v>
      </c>
      <c r="L604">
        <f>VLOOKUP(O604,BulletType!A$1:F$35,5)</f>
        <v>8</v>
      </c>
      <c r="M604">
        <f>VLOOKUP(O604,BulletType!A$1:F$35,6)</f>
        <v>4</v>
      </c>
      <c r="N604" s="3" t="str">
        <f>VLOOKUP(P604,BulletColor!A$2:B627,2)</f>
        <v>0.36,0.78,1</v>
      </c>
      <c r="O604">
        <v>23</v>
      </c>
      <c r="P604" s="2">
        <v>9</v>
      </c>
      <c r="Q604" s="2">
        <f t="shared" si="37"/>
        <v>0</v>
      </c>
    </row>
    <row r="605" spans="1:17" x14ac:dyDescent="0.2">
      <c r="A605" s="1">
        <f t="shared" si="39"/>
        <v>123091</v>
      </c>
      <c r="B605" s="3" t="str">
        <f>VLOOKUP(O605,BulletType!A$1:F$35,2)&amp;VLOOKUP(P605,BulletColor!A$1:C$25,3)</f>
        <v>箭弹深绿</v>
      </c>
      <c r="C605" s="3" t="str">
        <f t="shared" si="40"/>
        <v>Bullet123090</v>
      </c>
      <c r="D605" s="2">
        <f>VLOOKUP(O605,BulletType!A$2:N653,9)</f>
        <v>0</v>
      </c>
      <c r="E605" s="2">
        <f>VLOOKUP(O605,BulletType!A$2:N653,10)</f>
        <v>0</v>
      </c>
      <c r="F605" s="3" t="str">
        <f>CONCATENATE(VLOOKUP(O605,BulletType!A$2:I$35,8),VLOOKUP(P605,BulletColor!A$2:D$16,4))</f>
        <v>Bullet200090</v>
      </c>
      <c r="G605" s="3" t="str">
        <f>VLOOKUP(O605,BulletType!A$1:G$35,7)</f>
        <v>2.4,0.61</v>
      </c>
      <c r="H605" s="2">
        <f t="shared" si="38"/>
        <v>1</v>
      </c>
      <c r="I605">
        <f>VLOOKUP(O605,BulletType!A$1:F$35,3)</f>
        <v>1</v>
      </c>
      <c r="J605">
        <f>VLOOKUP(O605,BulletType!A$1:F$35,4)</f>
        <v>0</v>
      </c>
      <c r="K605">
        <f>VLOOKUP(O605,BulletType!A$1:F$35,5)</f>
        <v>8</v>
      </c>
      <c r="L605">
        <f>VLOOKUP(O605,BulletType!A$1:F$35,5)</f>
        <v>8</v>
      </c>
      <c r="M605">
        <f>VLOOKUP(O605,BulletType!A$1:F$35,6)</f>
        <v>4</v>
      </c>
      <c r="N605" s="3" t="str">
        <f>VLOOKUP(P605,BulletColor!A$2:B628,2)</f>
        <v>0.36,0.78,1</v>
      </c>
      <c r="O605">
        <v>23</v>
      </c>
      <c r="P605" s="2">
        <v>9</v>
      </c>
      <c r="Q605" s="2">
        <f t="shared" si="37"/>
        <v>1</v>
      </c>
    </row>
    <row r="606" spans="1:17" x14ac:dyDescent="0.2">
      <c r="A606" s="1">
        <f t="shared" si="39"/>
        <v>123130</v>
      </c>
      <c r="B606" s="3" t="str">
        <f>VLOOKUP(O606,BulletType!A$1:F$35,2)&amp;VLOOKUP(P606,BulletColor!A$1:C$25,3)</f>
        <v>箭弹浅黄</v>
      </c>
      <c r="C606" s="3" t="str">
        <f t="shared" si="40"/>
        <v>Bullet123130</v>
      </c>
      <c r="D606" s="2">
        <f>VLOOKUP(O606,BulletType!A$2:N654,9)</f>
        <v>0</v>
      </c>
      <c r="E606" s="2">
        <f>VLOOKUP(O606,BulletType!A$2:N654,10)</f>
        <v>0</v>
      </c>
      <c r="F606" s="3" t="str">
        <f>CONCATENATE(VLOOKUP(O606,BulletType!A$2:I$35,8),VLOOKUP(P606,BulletColor!A$2:D$16,4))</f>
        <v>Bullet200130</v>
      </c>
      <c r="G606" s="3" t="str">
        <f>VLOOKUP(O606,BulletType!A$1:G$35,7)</f>
        <v>2.4,0.61</v>
      </c>
      <c r="H606" s="2">
        <f t="shared" si="38"/>
        <v>0</v>
      </c>
      <c r="I606">
        <f>VLOOKUP(O606,BulletType!A$1:F$35,3)</f>
        <v>1</v>
      </c>
      <c r="J606">
        <f>VLOOKUP(O606,BulletType!A$1:F$35,4)</f>
        <v>0</v>
      </c>
      <c r="K606">
        <f>VLOOKUP(O606,BulletType!A$1:F$35,5)</f>
        <v>8</v>
      </c>
      <c r="L606">
        <f>VLOOKUP(O606,BulletType!A$1:F$35,5)</f>
        <v>8</v>
      </c>
      <c r="M606">
        <f>VLOOKUP(O606,BulletType!A$1:F$35,6)</f>
        <v>4</v>
      </c>
      <c r="N606" s="3" t="str">
        <f>VLOOKUP(P606,BulletColor!A$2:B629,2)</f>
        <v>0.9,1,0.4</v>
      </c>
      <c r="O606">
        <v>23</v>
      </c>
      <c r="P606" s="2">
        <v>13</v>
      </c>
      <c r="Q606" s="2">
        <f t="shared" si="37"/>
        <v>0</v>
      </c>
    </row>
    <row r="607" spans="1:17" x14ac:dyDescent="0.2">
      <c r="A607" s="1">
        <f t="shared" si="39"/>
        <v>123131</v>
      </c>
      <c r="B607" s="3" t="str">
        <f>VLOOKUP(O607,BulletType!A$1:F$35,2)&amp;VLOOKUP(P607,BulletColor!A$1:C$25,3)</f>
        <v>箭弹浅黄</v>
      </c>
      <c r="C607" s="3" t="str">
        <f t="shared" si="40"/>
        <v>Bullet123130</v>
      </c>
      <c r="D607" s="2">
        <f>VLOOKUP(O607,BulletType!A$2:N655,9)</f>
        <v>0</v>
      </c>
      <c r="E607" s="2">
        <f>VLOOKUP(O607,BulletType!A$2:N655,10)</f>
        <v>0</v>
      </c>
      <c r="F607" s="3" t="str">
        <f>CONCATENATE(VLOOKUP(O607,BulletType!A$2:I$35,8),VLOOKUP(P607,BulletColor!A$2:D$16,4))</f>
        <v>Bullet200130</v>
      </c>
      <c r="G607" s="3" t="str">
        <f>VLOOKUP(O607,BulletType!A$1:G$35,7)</f>
        <v>2.4,0.61</v>
      </c>
      <c r="H607" s="2">
        <f t="shared" si="38"/>
        <v>1</v>
      </c>
      <c r="I607">
        <f>VLOOKUP(O607,BulletType!A$1:F$35,3)</f>
        <v>1</v>
      </c>
      <c r="J607">
        <f>VLOOKUP(O607,BulletType!A$1:F$35,4)</f>
        <v>0</v>
      </c>
      <c r="K607">
        <f>VLOOKUP(O607,BulletType!A$1:F$35,5)</f>
        <v>8</v>
      </c>
      <c r="L607">
        <f>VLOOKUP(O607,BulletType!A$1:F$35,5)</f>
        <v>8</v>
      </c>
      <c r="M607">
        <f>VLOOKUP(O607,BulletType!A$1:F$35,6)</f>
        <v>4</v>
      </c>
      <c r="N607" s="3" t="str">
        <f>VLOOKUP(P607,BulletColor!A$2:B630,2)</f>
        <v>0.9,1,0.4</v>
      </c>
      <c r="O607">
        <v>23</v>
      </c>
      <c r="P607" s="2">
        <v>13</v>
      </c>
      <c r="Q607" s="2">
        <f t="shared" si="37"/>
        <v>1</v>
      </c>
    </row>
    <row r="608" spans="1:17" x14ac:dyDescent="0.2">
      <c r="A608" s="1">
        <f t="shared" si="39"/>
        <v>123150</v>
      </c>
      <c r="B608" s="3" t="str">
        <f>VLOOKUP(O608,BulletType!A$1:F$35,2)&amp;VLOOKUP(P608,BulletColor!A$1:C$25,3)</f>
        <v>箭弹白</v>
      </c>
      <c r="C608" s="3" t="str">
        <f t="shared" si="40"/>
        <v>Bullet123150</v>
      </c>
      <c r="D608" s="2">
        <f>VLOOKUP(O608,BulletType!A$2:N656,9)</f>
        <v>0</v>
      </c>
      <c r="E608" s="2">
        <f>VLOOKUP(O608,BulletType!A$2:N656,10)</f>
        <v>0</v>
      </c>
      <c r="F608" s="3" t="str">
        <f>CONCATENATE(VLOOKUP(O608,BulletType!A$2:I$35,8),VLOOKUP(P608,BulletColor!A$2:D$16,4))</f>
        <v>Bullet200130</v>
      </c>
      <c r="G608" s="3" t="str">
        <f>VLOOKUP(O608,BulletType!A$1:G$35,7)</f>
        <v>2.4,0.61</v>
      </c>
      <c r="H608" s="2">
        <f t="shared" si="38"/>
        <v>0</v>
      </c>
      <c r="I608">
        <f>VLOOKUP(O608,BulletType!A$1:F$35,3)</f>
        <v>1</v>
      </c>
      <c r="J608">
        <f>VLOOKUP(O608,BulletType!A$1:F$35,4)</f>
        <v>0</v>
      </c>
      <c r="K608">
        <f>VLOOKUP(O608,BulletType!A$1:F$35,5)</f>
        <v>8</v>
      </c>
      <c r="L608">
        <f>VLOOKUP(O608,BulletType!A$1:F$35,5)</f>
        <v>8</v>
      </c>
      <c r="M608">
        <f>VLOOKUP(O608,BulletType!A$1:F$35,6)</f>
        <v>4</v>
      </c>
      <c r="N608" s="3" t="str">
        <f>VLOOKUP(P608,BulletColor!A$2:B631,2)</f>
        <v>0.8,0.8,0.8</v>
      </c>
      <c r="O608">
        <v>23</v>
      </c>
      <c r="P608" s="2">
        <v>15</v>
      </c>
      <c r="Q608" s="2">
        <f t="shared" si="37"/>
        <v>0</v>
      </c>
    </row>
    <row r="609" spans="1:17" x14ac:dyDescent="0.2">
      <c r="A609" s="1">
        <f t="shared" si="39"/>
        <v>123151</v>
      </c>
      <c r="B609" s="3" t="str">
        <f>VLOOKUP(O609,BulletType!A$1:F$35,2)&amp;VLOOKUP(P609,BulletColor!A$1:C$25,3)</f>
        <v>箭弹白</v>
      </c>
      <c r="C609" s="3" t="str">
        <f t="shared" si="40"/>
        <v>Bullet123150</v>
      </c>
      <c r="D609" s="2">
        <f>VLOOKUP(O609,BulletType!A$2:N657,9)</f>
        <v>0</v>
      </c>
      <c r="E609" s="2">
        <f>VLOOKUP(O609,BulletType!A$2:N657,10)</f>
        <v>0</v>
      </c>
      <c r="F609" s="3" t="str">
        <f>CONCATENATE(VLOOKUP(O609,BulletType!A$2:I$35,8),VLOOKUP(P609,BulletColor!A$2:D$16,4))</f>
        <v>Bullet200130</v>
      </c>
      <c r="G609" s="3" t="str">
        <f>VLOOKUP(O609,BulletType!A$1:G$35,7)</f>
        <v>2.4,0.61</v>
      </c>
      <c r="H609" s="2">
        <f t="shared" si="38"/>
        <v>1</v>
      </c>
      <c r="I609">
        <f>VLOOKUP(O609,BulletType!A$1:F$35,3)</f>
        <v>1</v>
      </c>
      <c r="J609">
        <f>VLOOKUP(O609,BulletType!A$1:F$35,4)</f>
        <v>0</v>
      </c>
      <c r="K609">
        <f>VLOOKUP(O609,BulletType!A$1:F$35,5)</f>
        <v>8</v>
      </c>
      <c r="L609">
        <f>VLOOKUP(O609,BulletType!A$1:F$35,5)</f>
        <v>8</v>
      </c>
      <c r="M609">
        <f>VLOOKUP(O609,BulletType!A$1:F$35,6)</f>
        <v>4</v>
      </c>
      <c r="N609" s="3" t="str">
        <f>VLOOKUP(P609,BulletColor!A$2:B632,2)</f>
        <v>0.8,0.8,0.8</v>
      </c>
      <c r="O609">
        <v>23</v>
      </c>
      <c r="P609" s="2">
        <v>15</v>
      </c>
      <c r="Q609" s="2">
        <f t="shared" si="37"/>
        <v>1</v>
      </c>
    </row>
    <row r="610" spans="1:17" x14ac:dyDescent="0.2">
      <c r="A610" s="1">
        <f t="shared" si="39"/>
        <v>124000</v>
      </c>
      <c r="B610" s="3" t="str">
        <f>VLOOKUP(O610,BulletType!A$1:F$35,2)&amp;VLOOKUP(P610,BulletColor!A$1:C$25,3)</f>
        <v>小光玉灰</v>
      </c>
      <c r="C610" s="3" t="str">
        <f t="shared" si="40"/>
        <v>Bullet124000</v>
      </c>
      <c r="D610" s="2">
        <f>VLOOKUP(O610,BulletType!A$2:N658,9)</f>
        <v>0</v>
      </c>
      <c r="E610" s="2">
        <f>VLOOKUP(O610,BulletType!A$2:N658,10)</f>
        <v>0</v>
      </c>
      <c r="F610" s="3" t="str">
        <f>CONCATENATE(VLOOKUP(O610,BulletType!A$2:I$35,8),VLOOKUP(P610,BulletColor!A$2:D$16,4))</f>
        <v>Bullet200000</v>
      </c>
      <c r="G610" s="3" t="str">
        <f>VLOOKUP(O610,BulletType!A$1:G$35,7)</f>
        <v>3,0.751</v>
      </c>
      <c r="H610" s="2">
        <f t="shared" si="38"/>
        <v>0</v>
      </c>
      <c r="I610">
        <f>VLOOKUP(O610,BulletType!A$1:F$35,3)</f>
        <v>0</v>
      </c>
      <c r="J610">
        <f>VLOOKUP(O610,BulletType!A$1:F$35,4)</f>
        <v>0</v>
      </c>
      <c r="K610">
        <f>VLOOKUP(O610,BulletType!A$1:F$35,5)</f>
        <v>12</v>
      </c>
      <c r="L610">
        <f>VLOOKUP(O610,BulletType!A$1:F$35,5)</f>
        <v>12</v>
      </c>
      <c r="M610">
        <f>VLOOKUP(O610,BulletType!A$1:F$35,6)</f>
        <v>6</v>
      </c>
      <c r="N610" s="3" t="str">
        <f>VLOOKUP(P610,BulletColor!A$2:B633,2)</f>
        <v>0.5,0.5,0.5</v>
      </c>
      <c r="O610">
        <v>24</v>
      </c>
      <c r="P610" s="2">
        <v>0</v>
      </c>
      <c r="Q610" s="2">
        <f t="shared" si="37"/>
        <v>0</v>
      </c>
    </row>
    <row r="611" spans="1:17" x14ac:dyDescent="0.2">
      <c r="A611" s="1">
        <f t="shared" si="39"/>
        <v>124001</v>
      </c>
      <c r="B611" s="3" t="str">
        <f>VLOOKUP(O611,BulletType!A$1:F$35,2)&amp;VLOOKUP(P611,BulletColor!A$1:C$25,3)</f>
        <v>小光玉灰</v>
      </c>
      <c r="C611" s="3" t="str">
        <f t="shared" si="40"/>
        <v>Bullet124000</v>
      </c>
      <c r="D611" s="2">
        <f>VLOOKUP(O611,BulletType!A$2:N659,9)</f>
        <v>0</v>
      </c>
      <c r="E611" s="2">
        <f>VLOOKUP(O611,BulletType!A$2:N659,10)</f>
        <v>0</v>
      </c>
      <c r="F611" s="3" t="str">
        <f>CONCATENATE(VLOOKUP(O611,BulletType!A$2:I$35,8),VLOOKUP(P611,BulletColor!A$2:D$16,4))</f>
        <v>Bullet200000</v>
      </c>
      <c r="G611" s="3" t="str">
        <f>VLOOKUP(O611,BulletType!A$1:G$35,7)</f>
        <v>3,0.751</v>
      </c>
      <c r="H611" s="2">
        <f t="shared" si="38"/>
        <v>1</v>
      </c>
      <c r="I611">
        <f>VLOOKUP(O611,BulletType!A$1:F$35,3)</f>
        <v>0</v>
      </c>
      <c r="J611">
        <f>VLOOKUP(O611,BulletType!A$1:F$35,4)</f>
        <v>0</v>
      </c>
      <c r="K611">
        <f>VLOOKUP(O611,BulletType!A$1:F$35,5)</f>
        <v>12</v>
      </c>
      <c r="L611">
        <f>VLOOKUP(O611,BulletType!A$1:F$35,5)</f>
        <v>12</v>
      </c>
      <c r="M611">
        <f>VLOOKUP(O611,BulletType!A$1:F$35,6)</f>
        <v>6</v>
      </c>
      <c r="N611" s="3" t="str">
        <f>VLOOKUP(P611,BulletColor!A$2:B634,2)</f>
        <v>0.5,0.5,0.5</v>
      </c>
      <c r="O611">
        <v>24</v>
      </c>
      <c r="P611" s="2">
        <v>0</v>
      </c>
      <c r="Q611" s="2">
        <f t="shared" si="37"/>
        <v>1</v>
      </c>
    </row>
    <row r="612" spans="1:17" x14ac:dyDescent="0.2">
      <c r="A612" s="1">
        <f t="shared" si="39"/>
        <v>124010</v>
      </c>
      <c r="B612" s="3" t="str">
        <f>VLOOKUP(O612,BulletType!A$1:F$35,2)&amp;VLOOKUP(P612,BulletColor!A$1:C$25,3)</f>
        <v>小光玉深红</v>
      </c>
      <c r="C612" s="3" t="str">
        <f t="shared" si="40"/>
        <v>Bullet124010</v>
      </c>
      <c r="D612" s="2">
        <f>VLOOKUP(O612,BulletType!A$2:N660,9)</f>
        <v>0</v>
      </c>
      <c r="E612" s="2">
        <f>VLOOKUP(O612,BulletType!A$2:N660,10)</f>
        <v>0</v>
      </c>
      <c r="F612" s="3" t="str">
        <f>CONCATENATE(VLOOKUP(O612,BulletType!A$2:I$35,8),VLOOKUP(P612,BulletColor!A$2:D$16,4))</f>
        <v>Bullet200010</v>
      </c>
      <c r="G612" s="3" t="str">
        <f>VLOOKUP(O612,BulletType!A$1:G$35,7)</f>
        <v>3,0.751</v>
      </c>
      <c r="H612" s="2">
        <f t="shared" si="38"/>
        <v>0</v>
      </c>
      <c r="I612">
        <f>VLOOKUP(O612,BulletType!A$1:F$35,3)</f>
        <v>0</v>
      </c>
      <c r="J612">
        <f>VLOOKUP(O612,BulletType!A$1:F$35,4)</f>
        <v>0</v>
      </c>
      <c r="K612">
        <f>VLOOKUP(O612,BulletType!A$1:F$35,5)</f>
        <v>12</v>
      </c>
      <c r="L612">
        <f>VLOOKUP(O612,BulletType!A$1:F$35,5)</f>
        <v>12</v>
      </c>
      <c r="M612">
        <f>VLOOKUP(O612,BulletType!A$1:F$35,6)</f>
        <v>6</v>
      </c>
      <c r="N612" s="3" t="str">
        <f>VLOOKUP(P612,BulletColor!A$2:B635,2)</f>
        <v>0.625,0.3,0.3</v>
      </c>
      <c r="O612">
        <v>24</v>
      </c>
      <c r="P612" s="2">
        <v>1</v>
      </c>
      <c r="Q612" s="2">
        <f t="shared" si="37"/>
        <v>0</v>
      </c>
    </row>
    <row r="613" spans="1:17" x14ac:dyDescent="0.2">
      <c r="A613" s="1">
        <f t="shared" si="39"/>
        <v>124011</v>
      </c>
      <c r="B613" s="3" t="str">
        <f>VLOOKUP(O613,BulletType!A$1:F$35,2)&amp;VLOOKUP(P613,BulletColor!A$1:C$25,3)</f>
        <v>小光玉深红</v>
      </c>
      <c r="C613" s="3" t="str">
        <f t="shared" si="40"/>
        <v>Bullet124010</v>
      </c>
      <c r="D613" s="2">
        <f>VLOOKUP(O613,BulletType!A$2:N661,9)</f>
        <v>0</v>
      </c>
      <c r="E613" s="2">
        <f>VLOOKUP(O613,BulletType!A$2:N661,10)</f>
        <v>0</v>
      </c>
      <c r="F613" s="3" t="str">
        <f>CONCATENATE(VLOOKUP(O613,BulletType!A$2:I$35,8),VLOOKUP(P613,BulletColor!A$2:D$16,4))</f>
        <v>Bullet200010</v>
      </c>
      <c r="G613" s="3" t="str">
        <f>VLOOKUP(O613,BulletType!A$1:G$35,7)</f>
        <v>3,0.751</v>
      </c>
      <c r="H613" s="2">
        <f t="shared" si="38"/>
        <v>1</v>
      </c>
      <c r="I613">
        <f>VLOOKUP(O613,BulletType!A$1:F$35,3)</f>
        <v>0</v>
      </c>
      <c r="J613">
        <f>VLOOKUP(O613,BulletType!A$1:F$35,4)</f>
        <v>0</v>
      </c>
      <c r="K613">
        <f>VLOOKUP(O613,BulletType!A$1:F$35,5)</f>
        <v>12</v>
      </c>
      <c r="L613">
        <f>VLOOKUP(O613,BulletType!A$1:F$35,5)</f>
        <v>12</v>
      </c>
      <c r="M613">
        <f>VLOOKUP(O613,BulletType!A$1:F$35,6)</f>
        <v>6</v>
      </c>
      <c r="N613" s="3" t="str">
        <f>VLOOKUP(P613,BulletColor!A$2:B636,2)</f>
        <v>0.625,0.3,0.3</v>
      </c>
      <c r="O613">
        <v>24</v>
      </c>
      <c r="P613" s="2">
        <v>1</v>
      </c>
      <c r="Q613" s="2">
        <f t="shared" si="37"/>
        <v>1</v>
      </c>
    </row>
    <row r="614" spans="1:17" x14ac:dyDescent="0.2">
      <c r="A614" s="1">
        <f t="shared" si="39"/>
        <v>124030</v>
      </c>
      <c r="B614" s="3" t="str">
        <f>VLOOKUP(O614,BulletType!A$1:F$35,2)&amp;VLOOKUP(P614,BulletColor!A$1:C$25,3)</f>
        <v>小光玉深紫</v>
      </c>
      <c r="C614" s="3" t="str">
        <f t="shared" si="40"/>
        <v>Bullet124030</v>
      </c>
      <c r="D614" s="2">
        <f>VLOOKUP(O614,BulletType!A$2:N662,9)</f>
        <v>0</v>
      </c>
      <c r="E614" s="2">
        <f>VLOOKUP(O614,BulletType!A$2:N662,10)</f>
        <v>0</v>
      </c>
      <c r="F614" s="3" t="str">
        <f>CONCATENATE(VLOOKUP(O614,BulletType!A$2:I$35,8),VLOOKUP(P614,BulletColor!A$2:D$16,4))</f>
        <v>Bullet200030</v>
      </c>
      <c r="G614" s="3" t="str">
        <f>VLOOKUP(O614,BulletType!A$1:G$35,7)</f>
        <v>3,0.751</v>
      </c>
      <c r="H614" s="2">
        <f t="shared" si="38"/>
        <v>0</v>
      </c>
      <c r="I614">
        <f>VLOOKUP(O614,BulletType!A$1:F$35,3)</f>
        <v>0</v>
      </c>
      <c r="J614">
        <f>VLOOKUP(O614,BulletType!A$1:F$35,4)</f>
        <v>0</v>
      </c>
      <c r="K614">
        <f>VLOOKUP(O614,BulletType!A$1:F$35,5)</f>
        <v>12</v>
      </c>
      <c r="L614">
        <f>VLOOKUP(O614,BulletType!A$1:F$35,5)</f>
        <v>12</v>
      </c>
      <c r="M614">
        <f>VLOOKUP(O614,BulletType!A$1:F$35,6)</f>
        <v>6</v>
      </c>
      <c r="N614" s="3" t="str">
        <f>VLOOKUP(P614,BulletColor!A$2:B637,2)</f>
        <v>1,0.65,1</v>
      </c>
      <c r="O614">
        <v>24</v>
      </c>
      <c r="P614" s="2">
        <v>3</v>
      </c>
      <c r="Q614" s="2">
        <f t="shared" si="37"/>
        <v>0</v>
      </c>
    </row>
    <row r="615" spans="1:17" x14ac:dyDescent="0.2">
      <c r="A615" s="1">
        <f t="shared" si="39"/>
        <v>124031</v>
      </c>
      <c r="B615" s="3" t="str">
        <f>VLOOKUP(O615,BulletType!A$1:F$35,2)&amp;VLOOKUP(P615,BulletColor!A$1:C$25,3)</f>
        <v>小光玉深紫</v>
      </c>
      <c r="C615" s="3" t="str">
        <f t="shared" si="40"/>
        <v>Bullet124030</v>
      </c>
      <c r="D615" s="2">
        <f>VLOOKUP(O615,BulletType!A$2:N663,9)</f>
        <v>0</v>
      </c>
      <c r="E615" s="2">
        <f>VLOOKUP(O615,BulletType!A$2:N663,10)</f>
        <v>0</v>
      </c>
      <c r="F615" s="3" t="str">
        <f>CONCATENATE(VLOOKUP(O615,BulletType!A$2:I$35,8),VLOOKUP(P615,BulletColor!A$2:D$16,4))</f>
        <v>Bullet200030</v>
      </c>
      <c r="G615" s="3" t="str">
        <f>VLOOKUP(O615,BulletType!A$1:G$35,7)</f>
        <v>3,0.751</v>
      </c>
      <c r="H615" s="2">
        <f t="shared" si="38"/>
        <v>1</v>
      </c>
      <c r="I615">
        <f>VLOOKUP(O615,BulletType!A$1:F$35,3)</f>
        <v>0</v>
      </c>
      <c r="J615">
        <f>VLOOKUP(O615,BulletType!A$1:F$35,4)</f>
        <v>0</v>
      </c>
      <c r="K615">
        <f>VLOOKUP(O615,BulletType!A$1:F$35,5)</f>
        <v>12</v>
      </c>
      <c r="L615">
        <f>VLOOKUP(O615,BulletType!A$1:F$35,5)</f>
        <v>12</v>
      </c>
      <c r="M615">
        <f>VLOOKUP(O615,BulletType!A$1:F$35,6)</f>
        <v>6</v>
      </c>
      <c r="N615" s="3" t="str">
        <f>VLOOKUP(P615,BulletColor!A$2:B638,2)</f>
        <v>1,0.65,1</v>
      </c>
      <c r="O615">
        <v>24</v>
      </c>
      <c r="P615" s="2">
        <v>3</v>
      </c>
      <c r="Q615" s="2">
        <f t="shared" si="37"/>
        <v>1</v>
      </c>
    </row>
    <row r="616" spans="1:17" x14ac:dyDescent="0.2">
      <c r="A616" s="1">
        <f t="shared" si="39"/>
        <v>124050</v>
      </c>
      <c r="B616" s="3" t="str">
        <f>VLOOKUP(O616,BulletType!A$1:F$35,2)&amp;VLOOKUP(P616,BulletColor!A$1:C$25,3)</f>
        <v>小光玉深蓝</v>
      </c>
      <c r="C616" s="3" t="str">
        <f t="shared" si="40"/>
        <v>Bullet124050</v>
      </c>
      <c r="D616" s="2">
        <f>VLOOKUP(O616,BulletType!A$2:N664,9)</f>
        <v>0</v>
      </c>
      <c r="E616" s="2">
        <f>VLOOKUP(O616,BulletType!A$2:N664,10)</f>
        <v>0</v>
      </c>
      <c r="F616" s="3" t="str">
        <f>CONCATENATE(VLOOKUP(O616,BulletType!A$2:I$35,8),VLOOKUP(P616,BulletColor!A$2:D$16,4))</f>
        <v>Bullet200050</v>
      </c>
      <c r="G616" s="3" t="str">
        <f>VLOOKUP(O616,BulletType!A$1:G$35,7)</f>
        <v>3,0.751</v>
      </c>
      <c r="H616" s="2">
        <f t="shared" si="38"/>
        <v>0</v>
      </c>
      <c r="I616">
        <f>VLOOKUP(O616,BulletType!A$1:F$35,3)</f>
        <v>0</v>
      </c>
      <c r="J616">
        <f>VLOOKUP(O616,BulletType!A$1:F$35,4)</f>
        <v>0</v>
      </c>
      <c r="K616">
        <f>VLOOKUP(O616,BulletType!A$1:F$35,5)</f>
        <v>12</v>
      </c>
      <c r="L616">
        <f>VLOOKUP(O616,BulletType!A$1:F$35,5)</f>
        <v>12</v>
      </c>
      <c r="M616">
        <f>VLOOKUP(O616,BulletType!A$1:F$35,6)</f>
        <v>6</v>
      </c>
      <c r="N616" s="3" t="str">
        <f>VLOOKUP(P616,BulletColor!A$2:B639,2)</f>
        <v>0,0.1,1</v>
      </c>
      <c r="O616">
        <v>24</v>
      </c>
      <c r="P616" s="2">
        <v>5</v>
      </c>
      <c r="Q616" s="2">
        <f t="shared" si="37"/>
        <v>0</v>
      </c>
    </row>
    <row r="617" spans="1:17" x14ac:dyDescent="0.2">
      <c r="A617" s="1">
        <f t="shared" si="39"/>
        <v>124051</v>
      </c>
      <c r="B617" s="3" t="str">
        <f>VLOOKUP(O617,BulletType!A$1:F$35,2)&amp;VLOOKUP(P617,BulletColor!A$1:C$25,3)</f>
        <v>小光玉深蓝</v>
      </c>
      <c r="C617" s="3" t="str">
        <f t="shared" si="40"/>
        <v>Bullet124050</v>
      </c>
      <c r="D617" s="2">
        <f>VLOOKUP(O617,BulletType!A$2:N665,9)</f>
        <v>0</v>
      </c>
      <c r="E617" s="2">
        <f>VLOOKUP(O617,BulletType!A$2:N665,10)</f>
        <v>0</v>
      </c>
      <c r="F617" s="3" t="str">
        <f>CONCATENATE(VLOOKUP(O617,BulletType!A$2:I$35,8),VLOOKUP(P617,BulletColor!A$2:D$16,4))</f>
        <v>Bullet200050</v>
      </c>
      <c r="G617" s="3" t="str">
        <f>VLOOKUP(O617,BulletType!A$1:G$35,7)</f>
        <v>3,0.751</v>
      </c>
      <c r="H617" s="2">
        <f t="shared" si="38"/>
        <v>1</v>
      </c>
      <c r="I617">
        <f>VLOOKUP(O617,BulletType!A$1:F$35,3)</f>
        <v>0</v>
      </c>
      <c r="J617">
        <f>VLOOKUP(O617,BulletType!A$1:F$35,4)</f>
        <v>0</v>
      </c>
      <c r="K617">
        <f>VLOOKUP(O617,BulletType!A$1:F$35,5)</f>
        <v>12</v>
      </c>
      <c r="L617">
        <f>VLOOKUP(O617,BulletType!A$1:F$35,5)</f>
        <v>12</v>
      </c>
      <c r="M617">
        <f>VLOOKUP(O617,BulletType!A$1:F$35,6)</f>
        <v>6</v>
      </c>
      <c r="N617" s="3" t="str">
        <f>VLOOKUP(P617,BulletColor!A$2:B640,2)</f>
        <v>0,0.1,1</v>
      </c>
      <c r="O617">
        <v>24</v>
      </c>
      <c r="P617" s="2">
        <v>5</v>
      </c>
      <c r="Q617" s="2">
        <f t="shared" si="37"/>
        <v>1</v>
      </c>
    </row>
    <row r="618" spans="1:17" x14ac:dyDescent="0.2">
      <c r="A618" s="1">
        <f t="shared" si="39"/>
        <v>124070</v>
      </c>
      <c r="B618" s="3" t="str">
        <f>VLOOKUP(O618,BulletType!A$1:F$35,2)&amp;VLOOKUP(P618,BulletColor!A$1:C$25,3)</f>
        <v>小光玉深青</v>
      </c>
      <c r="C618" s="3" t="str">
        <f t="shared" si="40"/>
        <v>Bullet124070</v>
      </c>
      <c r="D618" s="2">
        <f>VLOOKUP(O618,BulletType!A$2:N666,9)</f>
        <v>0</v>
      </c>
      <c r="E618" s="2">
        <f>VLOOKUP(O618,BulletType!A$2:N666,10)</f>
        <v>0</v>
      </c>
      <c r="F618" s="3" t="str">
        <f>CONCATENATE(VLOOKUP(O618,BulletType!A$2:I$35,8),VLOOKUP(P618,BulletColor!A$2:D$16,4))</f>
        <v>Bullet200070</v>
      </c>
      <c r="G618" s="3" t="str">
        <f>VLOOKUP(O618,BulletType!A$1:G$35,7)</f>
        <v>3,0.751</v>
      </c>
      <c r="H618" s="2">
        <f t="shared" si="38"/>
        <v>0</v>
      </c>
      <c r="I618">
        <f>VLOOKUP(O618,BulletType!A$1:F$35,3)</f>
        <v>0</v>
      </c>
      <c r="J618">
        <f>VLOOKUP(O618,BulletType!A$1:F$35,4)</f>
        <v>0</v>
      </c>
      <c r="K618">
        <f>VLOOKUP(O618,BulletType!A$1:F$35,5)</f>
        <v>12</v>
      </c>
      <c r="L618">
        <f>VLOOKUP(O618,BulletType!A$1:F$35,5)</f>
        <v>12</v>
      </c>
      <c r="M618">
        <f>VLOOKUP(O618,BulletType!A$1:F$35,6)</f>
        <v>6</v>
      </c>
      <c r="N618" s="3" t="str">
        <f>VLOOKUP(P618,BulletColor!A$2:B641,2)</f>
        <v>0.25,1,1</v>
      </c>
      <c r="O618">
        <v>24</v>
      </c>
      <c r="P618" s="2">
        <v>7</v>
      </c>
      <c r="Q618" s="2">
        <f t="shared" si="37"/>
        <v>0</v>
      </c>
    </row>
    <row r="619" spans="1:17" x14ac:dyDescent="0.2">
      <c r="A619" s="1">
        <f t="shared" si="39"/>
        <v>124071</v>
      </c>
      <c r="B619" s="3" t="str">
        <f>VLOOKUP(O619,BulletType!A$1:F$35,2)&amp;VLOOKUP(P619,BulletColor!A$1:C$25,3)</f>
        <v>小光玉深青</v>
      </c>
      <c r="C619" s="3" t="str">
        <f t="shared" si="40"/>
        <v>Bullet124070</v>
      </c>
      <c r="D619" s="2">
        <f>VLOOKUP(O619,BulletType!A$2:N667,9)</f>
        <v>0</v>
      </c>
      <c r="E619" s="2">
        <f>VLOOKUP(O619,BulletType!A$2:N667,10)</f>
        <v>0</v>
      </c>
      <c r="F619" s="3" t="str">
        <f>CONCATENATE(VLOOKUP(O619,BulletType!A$2:I$35,8),VLOOKUP(P619,BulletColor!A$2:D$16,4))</f>
        <v>Bullet200070</v>
      </c>
      <c r="G619" s="3" t="str">
        <f>VLOOKUP(O619,BulletType!A$1:G$35,7)</f>
        <v>3,0.751</v>
      </c>
      <c r="H619" s="2">
        <f t="shared" si="38"/>
        <v>1</v>
      </c>
      <c r="I619">
        <f>VLOOKUP(O619,BulletType!A$1:F$35,3)</f>
        <v>0</v>
      </c>
      <c r="J619">
        <f>VLOOKUP(O619,BulletType!A$1:F$35,4)</f>
        <v>0</v>
      </c>
      <c r="K619">
        <f>VLOOKUP(O619,BulletType!A$1:F$35,5)</f>
        <v>12</v>
      </c>
      <c r="L619">
        <f>VLOOKUP(O619,BulletType!A$1:F$35,5)</f>
        <v>12</v>
      </c>
      <c r="M619">
        <f>VLOOKUP(O619,BulletType!A$1:F$35,6)</f>
        <v>6</v>
      </c>
      <c r="N619" s="3" t="str">
        <f>VLOOKUP(P619,BulletColor!A$2:B642,2)</f>
        <v>0.25,1,1</v>
      </c>
      <c r="O619">
        <v>24</v>
      </c>
      <c r="P619" s="2">
        <v>7</v>
      </c>
      <c r="Q619" s="2">
        <f t="shared" ref="Q619:Q641" si="41">MOD((ROW()-2),2)</f>
        <v>1</v>
      </c>
    </row>
    <row r="620" spans="1:17" x14ac:dyDescent="0.2">
      <c r="A620" s="1">
        <f t="shared" si="39"/>
        <v>124090</v>
      </c>
      <c r="B620" s="3" t="str">
        <f>VLOOKUP(O620,BulletType!A$1:F$35,2)&amp;VLOOKUP(P620,BulletColor!A$1:C$25,3)</f>
        <v>小光玉深绿</v>
      </c>
      <c r="C620" s="3" t="str">
        <f t="shared" si="40"/>
        <v>Bullet124090</v>
      </c>
      <c r="D620" s="2">
        <f>VLOOKUP(O620,BulletType!A$2:N668,9)</f>
        <v>0</v>
      </c>
      <c r="E620" s="2">
        <f>VLOOKUP(O620,BulletType!A$2:N668,10)</f>
        <v>0</v>
      </c>
      <c r="F620" s="3" t="str">
        <f>CONCATENATE(VLOOKUP(O620,BulletType!A$2:I$35,8),VLOOKUP(P620,BulletColor!A$2:D$16,4))</f>
        <v>Bullet200090</v>
      </c>
      <c r="G620" s="3" t="str">
        <f>VLOOKUP(O620,BulletType!A$1:G$35,7)</f>
        <v>3,0.751</v>
      </c>
      <c r="H620" s="2">
        <f t="shared" si="38"/>
        <v>0</v>
      </c>
      <c r="I620">
        <f>VLOOKUP(O620,BulletType!A$1:F$35,3)</f>
        <v>0</v>
      </c>
      <c r="J620">
        <f>VLOOKUP(O620,BulletType!A$1:F$35,4)</f>
        <v>0</v>
      </c>
      <c r="K620">
        <f>VLOOKUP(O620,BulletType!A$1:F$35,5)</f>
        <v>12</v>
      </c>
      <c r="L620">
        <f>VLOOKUP(O620,BulletType!A$1:F$35,5)</f>
        <v>12</v>
      </c>
      <c r="M620">
        <f>VLOOKUP(O620,BulletType!A$1:F$35,6)</f>
        <v>6</v>
      </c>
      <c r="N620" s="3" t="str">
        <f>VLOOKUP(P620,BulletColor!A$2:B643,2)</f>
        <v>0.36,0.78,1</v>
      </c>
      <c r="O620">
        <v>24</v>
      </c>
      <c r="P620" s="2">
        <v>9</v>
      </c>
      <c r="Q620" s="2">
        <f t="shared" si="41"/>
        <v>0</v>
      </c>
    </row>
    <row r="621" spans="1:17" x14ac:dyDescent="0.2">
      <c r="A621" s="1">
        <f t="shared" si="39"/>
        <v>124091</v>
      </c>
      <c r="B621" s="3" t="str">
        <f>VLOOKUP(O621,BulletType!A$1:F$35,2)&amp;VLOOKUP(P621,BulletColor!A$1:C$25,3)</f>
        <v>小光玉深绿</v>
      </c>
      <c r="C621" s="3" t="str">
        <f t="shared" si="40"/>
        <v>Bullet124090</v>
      </c>
      <c r="D621" s="2">
        <f>VLOOKUP(O621,BulletType!A$2:N669,9)</f>
        <v>0</v>
      </c>
      <c r="E621" s="2">
        <f>VLOOKUP(O621,BulletType!A$2:N669,10)</f>
        <v>0</v>
      </c>
      <c r="F621" s="3" t="str">
        <f>CONCATENATE(VLOOKUP(O621,BulletType!A$2:I$35,8),VLOOKUP(P621,BulletColor!A$2:D$16,4))</f>
        <v>Bullet200090</v>
      </c>
      <c r="G621" s="3" t="str">
        <f>VLOOKUP(O621,BulletType!A$1:G$35,7)</f>
        <v>3,0.751</v>
      </c>
      <c r="H621" s="2">
        <f t="shared" si="38"/>
        <v>1</v>
      </c>
      <c r="I621">
        <f>VLOOKUP(O621,BulletType!A$1:F$35,3)</f>
        <v>0</v>
      </c>
      <c r="J621">
        <f>VLOOKUP(O621,BulletType!A$1:F$35,4)</f>
        <v>0</v>
      </c>
      <c r="K621">
        <f>VLOOKUP(O621,BulletType!A$1:F$35,5)</f>
        <v>12</v>
      </c>
      <c r="L621">
        <f>VLOOKUP(O621,BulletType!A$1:F$35,5)</f>
        <v>12</v>
      </c>
      <c r="M621">
        <f>VLOOKUP(O621,BulletType!A$1:F$35,6)</f>
        <v>6</v>
      </c>
      <c r="N621" s="3" t="str">
        <f>VLOOKUP(P621,BulletColor!A$2:B644,2)</f>
        <v>0.36,0.78,1</v>
      </c>
      <c r="O621">
        <v>24</v>
      </c>
      <c r="P621" s="2">
        <v>9</v>
      </c>
      <c r="Q621" s="2">
        <f t="shared" si="41"/>
        <v>1</v>
      </c>
    </row>
    <row r="622" spans="1:17" x14ac:dyDescent="0.2">
      <c r="A622" s="1">
        <f t="shared" si="39"/>
        <v>124130</v>
      </c>
      <c r="B622" s="3" t="str">
        <f>VLOOKUP(O622,BulletType!A$1:F$35,2)&amp;VLOOKUP(P622,BulletColor!A$1:C$25,3)</f>
        <v>小光玉浅黄</v>
      </c>
      <c r="C622" s="3" t="str">
        <f t="shared" si="40"/>
        <v>Bullet124130</v>
      </c>
      <c r="D622" s="2">
        <f>VLOOKUP(O622,BulletType!A$2:N670,9)</f>
        <v>0</v>
      </c>
      <c r="E622" s="2">
        <f>VLOOKUP(O622,BulletType!A$2:N670,10)</f>
        <v>0</v>
      </c>
      <c r="F622" s="3" t="str">
        <f>CONCATENATE(VLOOKUP(O622,BulletType!A$2:I$35,8),VLOOKUP(P622,BulletColor!A$2:D$16,4))</f>
        <v>Bullet200130</v>
      </c>
      <c r="G622" s="3" t="str">
        <f>VLOOKUP(O622,BulletType!A$1:G$35,7)</f>
        <v>3,0.751</v>
      </c>
      <c r="H622" s="2">
        <f t="shared" si="38"/>
        <v>0</v>
      </c>
      <c r="I622">
        <f>VLOOKUP(O622,BulletType!A$1:F$35,3)</f>
        <v>0</v>
      </c>
      <c r="J622">
        <f>VLOOKUP(O622,BulletType!A$1:F$35,4)</f>
        <v>0</v>
      </c>
      <c r="K622">
        <f>VLOOKUP(O622,BulletType!A$1:F$35,5)</f>
        <v>12</v>
      </c>
      <c r="L622">
        <f>VLOOKUP(O622,BulletType!A$1:F$35,5)</f>
        <v>12</v>
      </c>
      <c r="M622">
        <f>VLOOKUP(O622,BulletType!A$1:F$35,6)</f>
        <v>6</v>
      </c>
      <c r="N622" s="3" t="str">
        <f>VLOOKUP(P622,BulletColor!A$2:B645,2)</f>
        <v>0.9,1,0.4</v>
      </c>
      <c r="O622">
        <v>24</v>
      </c>
      <c r="P622" s="2">
        <v>13</v>
      </c>
      <c r="Q622" s="2">
        <f t="shared" si="41"/>
        <v>0</v>
      </c>
    </row>
    <row r="623" spans="1:17" x14ac:dyDescent="0.2">
      <c r="A623" s="1">
        <f t="shared" si="39"/>
        <v>124131</v>
      </c>
      <c r="B623" s="3" t="str">
        <f>VLOOKUP(O623,BulletType!A$1:F$35,2)&amp;VLOOKUP(P623,BulletColor!A$1:C$25,3)</f>
        <v>小光玉浅黄</v>
      </c>
      <c r="C623" s="3" t="str">
        <f t="shared" si="40"/>
        <v>Bullet124130</v>
      </c>
      <c r="D623" s="2">
        <f>VLOOKUP(O623,BulletType!A$2:N671,9)</f>
        <v>0</v>
      </c>
      <c r="E623" s="2">
        <f>VLOOKUP(O623,BulletType!A$2:N671,10)</f>
        <v>0</v>
      </c>
      <c r="F623" s="3" t="str">
        <f>CONCATENATE(VLOOKUP(O623,BulletType!A$2:I$35,8),VLOOKUP(P623,BulletColor!A$2:D$16,4))</f>
        <v>Bullet200130</v>
      </c>
      <c r="G623" s="3" t="str">
        <f>VLOOKUP(O623,BulletType!A$1:G$35,7)</f>
        <v>3,0.751</v>
      </c>
      <c r="H623" s="2">
        <f t="shared" si="38"/>
        <v>1</v>
      </c>
      <c r="I623">
        <f>VLOOKUP(O623,BulletType!A$1:F$35,3)</f>
        <v>0</v>
      </c>
      <c r="J623">
        <f>VLOOKUP(O623,BulletType!A$1:F$35,4)</f>
        <v>0</v>
      </c>
      <c r="K623">
        <f>VLOOKUP(O623,BulletType!A$1:F$35,5)</f>
        <v>12</v>
      </c>
      <c r="L623">
        <f>VLOOKUP(O623,BulletType!A$1:F$35,5)</f>
        <v>12</v>
      </c>
      <c r="M623">
        <f>VLOOKUP(O623,BulletType!A$1:F$35,6)</f>
        <v>6</v>
      </c>
      <c r="N623" s="3" t="str">
        <f>VLOOKUP(P623,BulletColor!A$2:B646,2)</f>
        <v>0.9,1,0.4</v>
      </c>
      <c r="O623">
        <v>24</v>
      </c>
      <c r="P623" s="2">
        <v>13</v>
      </c>
      <c r="Q623" s="2">
        <f t="shared" si="41"/>
        <v>1</v>
      </c>
    </row>
    <row r="624" spans="1:17" x14ac:dyDescent="0.2">
      <c r="A624" s="1">
        <f t="shared" si="39"/>
        <v>124150</v>
      </c>
      <c r="B624" s="3" t="str">
        <f>VLOOKUP(O624,BulletType!A$1:F$35,2)&amp;VLOOKUP(P624,BulletColor!A$1:C$25,3)</f>
        <v>小光玉白</v>
      </c>
      <c r="C624" s="3" t="str">
        <f t="shared" si="40"/>
        <v>Bullet124150</v>
      </c>
      <c r="D624" s="2">
        <f>VLOOKUP(O624,BulletType!A$2:N672,9)</f>
        <v>0</v>
      </c>
      <c r="E624" s="2">
        <f>VLOOKUP(O624,BulletType!A$2:N672,10)</f>
        <v>0</v>
      </c>
      <c r="F624" s="3" t="str">
        <f>CONCATENATE(VLOOKUP(O624,BulletType!A$2:I$35,8),VLOOKUP(P624,BulletColor!A$2:D$16,4))</f>
        <v>Bullet200130</v>
      </c>
      <c r="G624" s="3" t="str">
        <f>VLOOKUP(O624,BulletType!A$1:G$35,7)</f>
        <v>3,0.751</v>
      </c>
      <c r="H624" s="2">
        <f t="shared" si="38"/>
        <v>0</v>
      </c>
      <c r="I624">
        <f>VLOOKUP(O624,BulletType!A$1:F$35,3)</f>
        <v>0</v>
      </c>
      <c r="J624">
        <f>VLOOKUP(O624,BulletType!A$1:F$35,4)</f>
        <v>0</v>
      </c>
      <c r="K624">
        <f>VLOOKUP(O624,BulletType!A$1:F$35,5)</f>
        <v>12</v>
      </c>
      <c r="L624">
        <f>VLOOKUP(O624,BulletType!A$1:F$35,5)</f>
        <v>12</v>
      </c>
      <c r="M624">
        <f>VLOOKUP(O624,BulletType!A$1:F$35,6)</f>
        <v>6</v>
      </c>
      <c r="N624" s="3" t="str">
        <f>VLOOKUP(P624,BulletColor!A$2:B647,2)</f>
        <v>0.8,0.8,0.8</v>
      </c>
      <c r="O624">
        <v>24</v>
      </c>
      <c r="P624" s="2">
        <v>15</v>
      </c>
      <c r="Q624" s="2">
        <f t="shared" si="41"/>
        <v>0</v>
      </c>
    </row>
    <row r="625" spans="1:17" x14ac:dyDescent="0.2">
      <c r="A625" s="1">
        <f t="shared" si="39"/>
        <v>124151</v>
      </c>
      <c r="B625" s="3" t="str">
        <f>VLOOKUP(O625,BulletType!A$1:F$35,2)&amp;VLOOKUP(P625,BulletColor!A$1:C$25,3)</f>
        <v>小光玉白</v>
      </c>
      <c r="C625" s="3" t="str">
        <f t="shared" si="40"/>
        <v>Bullet124150</v>
      </c>
      <c r="D625" s="2">
        <f>VLOOKUP(O625,BulletType!A$2:N673,9)</f>
        <v>0</v>
      </c>
      <c r="E625" s="2">
        <f>VLOOKUP(O625,BulletType!A$2:N673,10)</f>
        <v>0</v>
      </c>
      <c r="F625" s="3" t="str">
        <f>CONCATENATE(VLOOKUP(O625,BulletType!A$2:I$35,8),VLOOKUP(P625,BulletColor!A$2:D$16,4))</f>
        <v>Bullet200130</v>
      </c>
      <c r="G625" s="3" t="str">
        <f>VLOOKUP(O625,BulletType!A$1:G$35,7)</f>
        <v>3,0.751</v>
      </c>
      <c r="H625" s="2">
        <f t="shared" si="38"/>
        <v>1</v>
      </c>
      <c r="I625">
        <f>VLOOKUP(O625,BulletType!A$1:F$35,3)</f>
        <v>0</v>
      </c>
      <c r="J625">
        <f>VLOOKUP(O625,BulletType!A$1:F$35,4)</f>
        <v>0</v>
      </c>
      <c r="K625">
        <f>VLOOKUP(O625,BulletType!A$1:F$35,5)</f>
        <v>12</v>
      </c>
      <c r="L625">
        <f>VLOOKUP(O625,BulletType!A$1:F$35,5)</f>
        <v>12</v>
      </c>
      <c r="M625">
        <f>VLOOKUP(O625,BulletType!A$1:F$35,6)</f>
        <v>6</v>
      </c>
      <c r="N625" s="3" t="str">
        <f>VLOOKUP(P625,BulletColor!A$2:B648,2)</f>
        <v>0.8,0.8,0.8</v>
      </c>
      <c r="O625">
        <v>24</v>
      </c>
      <c r="P625" s="2">
        <v>15</v>
      </c>
      <c r="Q625" s="2">
        <f t="shared" si="41"/>
        <v>1</v>
      </c>
    </row>
    <row r="626" spans="1:17" x14ac:dyDescent="0.2">
      <c r="A626" s="1">
        <f t="shared" si="39"/>
        <v>125000</v>
      </c>
      <c r="B626" s="3" t="str">
        <f>VLOOKUP(O626,BulletType!A$1:F$35,2)&amp;VLOOKUP(P626,BulletColor!A$1:C$25,3)</f>
        <v>休止符灰</v>
      </c>
      <c r="C626" s="3" t="str">
        <f t="shared" si="40"/>
        <v>Bullet125000</v>
      </c>
      <c r="D626" s="2">
        <f>VLOOKUP(O626,BulletType!A$2:N674,9)</f>
        <v>0</v>
      </c>
      <c r="E626" s="2">
        <f>VLOOKUP(O626,BulletType!A$2:N674,10)</f>
        <v>0</v>
      </c>
      <c r="F626" s="3" t="str">
        <f>CONCATENATE(VLOOKUP(O626,BulletType!A$2:I$35,8),VLOOKUP(P626,BulletColor!A$2:D$16,4))</f>
        <v>Bullet200000</v>
      </c>
      <c r="G626" s="3" t="str">
        <f>VLOOKUP(O626,BulletType!A$1:G$35,7)</f>
        <v>3.2,0.8</v>
      </c>
      <c r="H626" s="2">
        <f t="shared" si="38"/>
        <v>0</v>
      </c>
      <c r="I626">
        <f>VLOOKUP(O626,BulletType!A$1:F$35,3)</f>
        <v>1</v>
      </c>
      <c r="J626">
        <f>VLOOKUP(O626,BulletType!A$1:F$35,4)</f>
        <v>0</v>
      </c>
      <c r="K626">
        <f>VLOOKUP(O626,BulletType!A$1:F$35,5)</f>
        <v>10</v>
      </c>
      <c r="L626">
        <f>VLOOKUP(O626,BulletType!A$1:F$35,5)</f>
        <v>10</v>
      </c>
      <c r="M626">
        <f>VLOOKUP(O626,BulletType!A$1:F$35,6)</f>
        <v>5</v>
      </c>
      <c r="N626" s="3" t="str">
        <f>VLOOKUP(P626,BulletColor!A$2:B649,2)</f>
        <v>0.5,0.5,0.5</v>
      </c>
      <c r="O626">
        <v>25</v>
      </c>
      <c r="P626" s="2">
        <v>0</v>
      </c>
      <c r="Q626" s="2">
        <f t="shared" si="41"/>
        <v>0</v>
      </c>
    </row>
    <row r="627" spans="1:17" x14ac:dyDescent="0.2">
      <c r="A627" s="1">
        <f t="shared" si="39"/>
        <v>125001</v>
      </c>
      <c r="B627" s="3" t="str">
        <f>VLOOKUP(O627,BulletType!A$1:F$35,2)&amp;VLOOKUP(P627,BulletColor!A$1:C$25,3)</f>
        <v>休止符灰</v>
      </c>
      <c r="C627" s="3" t="str">
        <f t="shared" si="40"/>
        <v>Bullet125000</v>
      </c>
      <c r="D627" s="2">
        <f>VLOOKUP(O627,BulletType!A$2:N675,9)</f>
        <v>0</v>
      </c>
      <c r="E627" s="2">
        <f>VLOOKUP(O627,BulletType!A$2:N675,10)</f>
        <v>0</v>
      </c>
      <c r="F627" s="3" t="str">
        <f>CONCATENATE(VLOOKUP(O627,BulletType!A$2:I$35,8),VLOOKUP(P627,BulletColor!A$2:D$16,4))</f>
        <v>Bullet200000</v>
      </c>
      <c r="G627" s="3" t="str">
        <f>VLOOKUP(O627,BulletType!A$1:G$35,7)</f>
        <v>3.2,0.8</v>
      </c>
      <c r="H627" s="2">
        <f t="shared" si="38"/>
        <v>1</v>
      </c>
      <c r="I627">
        <f>VLOOKUP(O627,BulletType!A$1:F$35,3)</f>
        <v>1</v>
      </c>
      <c r="J627">
        <f>VLOOKUP(O627,BulletType!A$1:F$35,4)</f>
        <v>0</v>
      </c>
      <c r="K627">
        <f>VLOOKUP(O627,BulletType!A$1:F$35,5)</f>
        <v>10</v>
      </c>
      <c r="L627">
        <f>VLOOKUP(O627,BulletType!A$1:F$35,5)</f>
        <v>10</v>
      </c>
      <c r="M627">
        <f>VLOOKUP(O627,BulletType!A$1:F$35,6)</f>
        <v>5</v>
      </c>
      <c r="N627" s="3" t="str">
        <f>VLOOKUP(P627,BulletColor!A$2:B650,2)</f>
        <v>0.5,0.5,0.5</v>
      </c>
      <c r="O627">
        <v>25</v>
      </c>
      <c r="P627" s="2">
        <v>0</v>
      </c>
      <c r="Q627" s="2">
        <f t="shared" si="41"/>
        <v>1</v>
      </c>
    </row>
    <row r="628" spans="1:17" x14ac:dyDescent="0.2">
      <c r="A628" s="1">
        <f t="shared" si="39"/>
        <v>125010</v>
      </c>
      <c r="B628" s="3" t="str">
        <f>VLOOKUP(O628,BulletType!A$1:F$35,2)&amp;VLOOKUP(P628,BulletColor!A$1:C$25,3)</f>
        <v>休止符深红</v>
      </c>
      <c r="C628" s="3" t="str">
        <f t="shared" si="40"/>
        <v>Bullet125010</v>
      </c>
      <c r="D628" s="2">
        <f>VLOOKUP(O628,BulletType!A$2:N676,9)</f>
        <v>0</v>
      </c>
      <c r="E628" s="2">
        <f>VLOOKUP(O628,BulletType!A$2:N676,10)</f>
        <v>0</v>
      </c>
      <c r="F628" s="3" t="str">
        <f>CONCATENATE(VLOOKUP(O628,BulletType!A$2:I$35,8),VLOOKUP(P628,BulletColor!A$2:D$16,4))</f>
        <v>Bullet200010</v>
      </c>
      <c r="G628" s="3" t="str">
        <f>VLOOKUP(O628,BulletType!A$1:G$35,7)</f>
        <v>3.2,0.8</v>
      </c>
      <c r="H628" s="2">
        <f t="shared" si="38"/>
        <v>0</v>
      </c>
      <c r="I628">
        <f>VLOOKUP(O628,BulletType!A$1:F$35,3)</f>
        <v>1</v>
      </c>
      <c r="J628">
        <f>VLOOKUP(O628,BulletType!A$1:F$35,4)</f>
        <v>0</v>
      </c>
      <c r="K628">
        <f>VLOOKUP(O628,BulletType!A$1:F$35,5)</f>
        <v>10</v>
      </c>
      <c r="L628">
        <f>VLOOKUP(O628,BulletType!A$1:F$35,5)</f>
        <v>10</v>
      </c>
      <c r="M628">
        <f>VLOOKUP(O628,BulletType!A$1:F$35,6)</f>
        <v>5</v>
      </c>
      <c r="N628" s="3" t="str">
        <f>VLOOKUP(P628,BulletColor!A$2:B651,2)</f>
        <v>0.625,0.3,0.3</v>
      </c>
      <c r="O628">
        <v>25</v>
      </c>
      <c r="P628" s="2">
        <v>1</v>
      </c>
      <c r="Q628" s="2">
        <f t="shared" si="41"/>
        <v>0</v>
      </c>
    </row>
    <row r="629" spans="1:17" x14ac:dyDescent="0.2">
      <c r="A629" s="1">
        <f t="shared" si="39"/>
        <v>125011</v>
      </c>
      <c r="B629" s="3" t="str">
        <f>VLOOKUP(O629,BulletType!A$1:F$35,2)&amp;VLOOKUP(P629,BulletColor!A$1:C$25,3)</f>
        <v>休止符深红</v>
      </c>
      <c r="C629" s="3" t="str">
        <f t="shared" si="40"/>
        <v>Bullet125010</v>
      </c>
      <c r="D629" s="2">
        <f>VLOOKUP(O629,BulletType!A$2:N677,9)</f>
        <v>0</v>
      </c>
      <c r="E629" s="2">
        <f>VLOOKUP(O629,BulletType!A$2:N677,10)</f>
        <v>0</v>
      </c>
      <c r="F629" s="3" t="str">
        <f>CONCATENATE(VLOOKUP(O629,BulletType!A$2:I$35,8),VLOOKUP(P629,BulletColor!A$2:D$16,4))</f>
        <v>Bullet200010</v>
      </c>
      <c r="G629" s="3" t="str">
        <f>VLOOKUP(O629,BulletType!A$1:G$35,7)</f>
        <v>3.2,0.8</v>
      </c>
      <c r="H629" s="2">
        <f t="shared" si="38"/>
        <v>1</v>
      </c>
      <c r="I629">
        <f>VLOOKUP(O629,BulletType!A$1:F$35,3)</f>
        <v>1</v>
      </c>
      <c r="J629">
        <f>VLOOKUP(O629,BulletType!A$1:F$35,4)</f>
        <v>0</v>
      </c>
      <c r="K629">
        <f>VLOOKUP(O629,BulletType!A$1:F$35,5)</f>
        <v>10</v>
      </c>
      <c r="L629">
        <f>VLOOKUP(O629,BulletType!A$1:F$35,5)</f>
        <v>10</v>
      </c>
      <c r="M629">
        <f>VLOOKUP(O629,BulletType!A$1:F$35,6)</f>
        <v>5</v>
      </c>
      <c r="N629" s="3" t="str">
        <f>VLOOKUP(P629,BulletColor!A$2:B652,2)</f>
        <v>0.625,0.3,0.3</v>
      </c>
      <c r="O629">
        <v>25</v>
      </c>
      <c r="P629" s="2">
        <v>1</v>
      </c>
      <c r="Q629" s="2">
        <f t="shared" si="41"/>
        <v>1</v>
      </c>
    </row>
    <row r="630" spans="1:17" x14ac:dyDescent="0.2">
      <c r="A630" s="1">
        <f t="shared" si="39"/>
        <v>125030</v>
      </c>
      <c r="B630" s="3" t="str">
        <f>VLOOKUP(O630,BulletType!A$1:F$35,2)&amp;VLOOKUP(P630,BulletColor!A$1:C$25,3)</f>
        <v>休止符深紫</v>
      </c>
      <c r="C630" s="3" t="str">
        <f t="shared" si="40"/>
        <v>Bullet125030</v>
      </c>
      <c r="D630" s="2">
        <f>VLOOKUP(O630,BulletType!A$2:N678,9)</f>
        <v>0</v>
      </c>
      <c r="E630" s="2">
        <f>VLOOKUP(O630,BulletType!A$2:N678,10)</f>
        <v>0</v>
      </c>
      <c r="F630" s="3" t="str">
        <f>CONCATENATE(VLOOKUP(O630,BulletType!A$2:I$35,8),VLOOKUP(P630,BulletColor!A$2:D$16,4))</f>
        <v>Bullet200030</v>
      </c>
      <c r="G630" s="3" t="str">
        <f>VLOOKUP(O630,BulletType!A$1:G$35,7)</f>
        <v>3.2,0.8</v>
      </c>
      <c r="H630" s="2">
        <f t="shared" si="38"/>
        <v>0</v>
      </c>
      <c r="I630">
        <f>VLOOKUP(O630,BulletType!A$1:F$35,3)</f>
        <v>1</v>
      </c>
      <c r="J630">
        <f>VLOOKUP(O630,BulletType!A$1:F$35,4)</f>
        <v>0</v>
      </c>
      <c r="K630">
        <f>VLOOKUP(O630,BulletType!A$1:F$35,5)</f>
        <v>10</v>
      </c>
      <c r="L630">
        <f>VLOOKUP(O630,BulletType!A$1:F$35,5)</f>
        <v>10</v>
      </c>
      <c r="M630">
        <f>VLOOKUP(O630,BulletType!A$1:F$35,6)</f>
        <v>5</v>
      </c>
      <c r="N630" s="3" t="str">
        <f>VLOOKUP(P630,BulletColor!A$2:B653,2)</f>
        <v>1,0.65,1</v>
      </c>
      <c r="O630">
        <v>25</v>
      </c>
      <c r="P630" s="2">
        <v>3</v>
      </c>
      <c r="Q630" s="2">
        <f t="shared" si="41"/>
        <v>0</v>
      </c>
    </row>
    <row r="631" spans="1:17" x14ac:dyDescent="0.2">
      <c r="A631" s="1">
        <f t="shared" si="39"/>
        <v>125031</v>
      </c>
      <c r="B631" s="3" t="str">
        <f>VLOOKUP(O631,BulletType!A$1:F$35,2)&amp;VLOOKUP(P631,BulletColor!A$1:C$25,3)</f>
        <v>休止符深紫</v>
      </c>
      <c r="C631" s="3" t="str">
        <f t="shared" si="40"/>
        <v>Bullet125030</v>
      </c>
      <c r="D631" s="2">
        <f>VLOOKUP(O631,BulletType!A$2:N679,9)</f>
        <v>0</v>
      </c>
      <c r="E631" s="2">
        <f>VLOOKUP(O631,BulletType!A$2:N679,10)</f>
        <v>0</v>
      </c>
      <c r="F631" s="3" t="str">
        <f>CONCATENATE(VLOOKUP(O631,BulletType!A$2:I$35,8),VLOOKUP(P631,BulletColor!A$2:D$16,4))</f>
        <v>Bullet200030</v>
      </c>
      <c r="G631" s="3" t="str">
        <f>VLOOKUP(O631,BulletType!A$1:G$35,7)</f>
        <v>3.2,0.8</v>
      </c>
      <c r="H631" s="2">
        <f t="shared" si="38"/>
        <v>1</v>
      </c>
      <c r="I631">
        <f>VLOOKUP(O631,BulletType!A$1:F$35,3)</f>
        <v>1</v>
      </c>
      <c r="J631">
        <f>VLOOKUP(O631,BulletType!A$1:F$35,4)</f>
        <v>0</v>
      </c>
      <c r="K631">
        <f>VLOOKUP(O631,BulletType!A$1:F$35,5)</f>
        <v>10</v>
      </c>
      <c r="L631">
        <f>VLOOKUP(O631,BulletType!A$1:F$35,5)</f>
        <v>10</v>
      </c>
      <c r="M631">
        <f>VLOOKUP(O631,BulletType!A$1:F$35,6)</f>
        <v>5</v>
      </c>
      <c r="N631" s="3" t="str">
        <f>VLOOKUP(P631,BulletColor!A$2:B654,2)</f>
        <v>1,0.65,1</v>
      </c>
      <c r="O631">
        <v>25</v>
      </c>
      <c r="P631" s="2">
        <v>3</v>
      </c>
      <c r="Q631" s="2">
        <f t="shared" si="41"/>
        <v>1</v>
      </c>
    </row>
    <row r="632" spans="1:17" x14ac:dyDescent="0.2">
      <c r="A632" s="1">
        <f t="shared" si="39"/>
        <v>125050</v>
      </c>
      <c r="B632" s="3" t="str">
        <f>VLOOKUP(O632,BulletType!A$1:F$35,2)&amp;VLOOKUP(P632,BulletColor!A$1:C$25,3)</f>
        <v>休止符深蓝</v>
      </c>
      <c r="C632" s="3" t="str">
        <f t="shared" si="40"/>
        <v>Bullet125050</v>
      </c>
      <c r="D632" s="2">
        <f>VLOOKUP(O632,BulletType!A$2:N680,9)</f>
        <v>0</v>
      </c>
      <c r="E632" s="2">
        <f>VLOOKUP(O632,BulletType!A$2:N680,10)</f>
        <v>0</v>
      </c>
      <c r="F632" s="3" t="str">
        <f>CONCATENATE(VLOOKUP(O632,BulletType!A$2:I$35,8),VLOOKUP(P632,BulletColor!A$2:D$16,4))</f>
        <v>Bullet200050</v>
      </c>
      <c r="G632" s="3" t="str">
        <f>VLOOKUP(O632,BulletType!A$1:G$35,7)</f>
        <v>3.2,0.8</v>
      </c>
      <c r="H632" s="2">
        <f t="shared" si="38"/>
        <v>0</v>
      </c>
      <c r="I632">
        <f>VLOOKUP(O632,BulletType!A$1:F$35,3)</f>
        <v>1</v>
      </c>
      <c r="J632">
        <f>VLOOKUP(O632,BulletType!A$1:F$35,4)</f>
        <v>0</v>
      </c>
      <c r="K632">
        <f>VLOOKUP(O632,BulletType!A$1:F$35,5)</f>
        <v>10</v>
      </c>
      <c r="L632">
        <f>VLOOKUP(O632,BulletType!A$1:F$35,5)</f>
        <v>10</v>
      </c>
      <c r="M632">
        <f>VLOOKUP(O632,BulletType!A$1:F$35,6)</f>
        <v>5</v>
      </c>
      <c r="N632" s="3" t="str">
        <f>VLOOKUP(P632,BulletColor!A$2:B655,2)</f>
        <v>0,0.1,1</v>
      </c>
      <c r="O632">
        <v>25</v>
      </c>
      <c r="P632" s="2">
        <v>5</v>
      </c>
      <c r="Q632" s="2">
        <f t="shared" si="41"/>
        <v>0</v>
      </c>
    </row>
    <row r="633" spans="1:17" x14ac:dyDescent="0.2">
      <c r="A633" s="1">
        <f t="shared" si="39"/>
        <v>125051</v>
      </c>
      <c r="B633" s="3" t="str">
        <f>VLOOKUP(O633,BulletType!A$1:F$35,2)&amp;VLOOKUP(P633,BulletColor!A$1:C$25,3)</f>
        <v>休止符深蓝</v>
      </c>
      <c r="C633" s="3" t="str">
        <f t="shared" si="40"/>
        <v>Bullet125050</v>
      </c>
      <c r="D633" s="2">
        <f>VLOOKUP(O633,BulletType!A$2:N681,9)</f>
        <v>0</v>
      </c>
      <c r="E633" s="2">
        <f>VLOOKUP(O633,BulletType!A$2:N681,10)</f>
        <v>0</v>
      </c>
      <c r="F633" s="3" t="str">
        <f>CONCATENATE(VLOOKUP(O633,BulletType!A$2:I$35,8),VLOOKUP(P633,BulletColor!A$2:D$16,4))</f>
        <v>Bullet200050</v>
      </c>
      <c r="G633" s="3" t="str">
        <f>VLOOKUP(O633,BulletType!A$1:G$35,7)</f>
        <v>3.2,0.8</v>
      </c>
      <c r="H633" s="2">
        <f t="shared" si="38"/>
        <v>1</v>
      </c>
      <c r="I633">
        <f>VLOOKUP(O633,BulletType!A$1:F$35,3)</f>
        <v>1</v>
      </c>
      <c r="J633">
        <f>VLOOKUP(O633,BulletType!A$1:F$35,4)</f>
        <v>0</v>
      </c>
      <c r="K633">
        <f>VLOOKUP(O633,BulletType!A$1:F$35,5)</f>
        <v>10</v>
      </c>
      <c r="L633">
        <f>VLOOKUP(O633,BulletType!A$1:F$35,5)</f>
        <v>10</v>
      </c>
      <c r="M633">
        <f>VLOOKUP(O633,BulletType!A$1:F$35,6)</f>
        <v>5</v>
      </c>
      <c r="N633" s="3" t="str">
        <f>VLOOKUP(P633,BulletColor!A$2:B656,2)</f>
        <v>0,0.1,1</v>
      </c>
      <c r="O633">
        <v>25</v>
      </c>
      <c r="P633" s="2">
        <v>5</v>
      </c>
      <c r="Q633" s="2">
        <f t="shared" si="41"/>
        <v>1</v>
      </c>
    </row>
    <row r="634" spans="1:17" x14ac:dyDescent="0.2">
      <c r="A634" s="1">
        <f t="shared" si="39"/>
        <v>125070</v>
      </c>
      <c r="B634" s="3" t="str">
        <f>VLOOKUP(O634,BulletType!A$1:F$35,2)&amp;VLOOKUP(P634,BulletColor!A$1:C$25,3)</f>
        <v>休止符深青</v>
      </c>
      <c r="C634" s="3" t="str">
        <f t="shared" si="40"/>
        <v>Bullet125070</v>
      </c>
      <c r="D634" s="2">
        <f>VLOOKUP(O634,BulletType!A$2:N682,9)</f>
        <v>0</v>
      </c>
      <c r="E634" s="2">
        <f>VLOOKUP(O634,BulletType!A$2:N682,10)</f>
        <v>0</v>
      </c>
      <c r="F634" s="3" t="str">
        <f>CONCATENATE(VLOOKUP(O634,BulletType!A$2:I$35,8),VLOOKUP(P634,BulletColor!A$2:D$16,4))</f>
        <v>Bullet200070</v>
      </c>
      <c r="G634" s="3" t="str">
        <f>VLOOKUP(O634,BulletType!A$1:G$35,7)</f>
        <v>3.2,0.8</v>
      </c>
      <c r="H634" s="2">
        <f t="shared" si="38"/>
        <v>0</v>
      </c>
      <c r="I634">
        <f>VLOOKUP(O634,BulletType!A$1:F$35,3)</f>
        <v>1</v>
      </c>
      <c r="J634">
        <f>VLOOKUP(O634,BulletType!A$1:F$35,4)</f>
        <v>0</v>
      </c>
      <c r="K634">
        <f>VLOOKUP(O634,BulletType!A$1:F$35,5)</f>
        <v>10</v>
      </c>
      <c r="L634">
        <f>VLOOKUP(O634,BulletType!A$1:F$35,5)</f>
        <v>10</v>
      </c>
      <c r="M634">
        <f>VLOOKUP(O634,BulletType!A$1:F$35,6)</f>
        <v>5</v>
      </c>
      <c r="N634" s="3" t="str">
        <f>VLOOKUP(P634,BulletColor!A$2:B657,2)</f>
        <v>0.25,1,1</v>
      </c>
      <c r="O634">
        <v>25</v>
      </c>
      <c r="P634" s="2">
        <v>7</v>
      </c>
      <c r="Q634" s="2">
        <f t="shared" si="41"/>
        <v>0</v>
      </c>
    </row>
    <row r="635" spans="1:17" x14ac:dyDescent="0.2">
      <c r="A635" s="1">
        <f t="shared" si="39"/>
        <v>125071</v>
      </c>
      <c r="B635" s="3" t="str">
        <f>VLOOKUP(O635,BulletType!A$1:F$35,2)&amp;VLOOKUP(P635,BulletColor!A$1:C$25,3)</f>
        <v>休止符深青</v>
      </c>
      <c r="C635" s="3" t="str">
        <f t="shared" si="40"/>
        <v>Bullet125070</v>
      </c>
      <c r="D635" s="2">
        <f>VLOOKUP(O635,BulletType!A$2:N683,9)</f>
        <v>0</v>
      </c>
      <c r="E635" s="2">
        <f>VLOOKUP(O635,BulletType!A$2:N683,10)</f>
        <v>0</v>
      </c>
      <c r="F635" s="3" t="str">
        <f>CONCATENATE(VLOOKUP(O635,BulletType!A$2:I$35,8),VLOOKUP(P635,BulletColor!A$2:D$16,4))</f>
        <v>Bullet200070</v>
      </c>
      <c r="G635" s="3" t="str">
        <f>VLOOKUP(O635,BulletType!A$1:G$35,7)</f>
        <v>3.2,0.8</v>
      </c>
      <c r="H635" s="2">
        <f t="shared" si="38"/>
        <v>1</v>
      </c>
      <c r="I635">
        <f>VLOOKUP(O635,BulletType!A$1:F$35,3)</f>
        <v>1</v>
      </c>
      <c r="J635">
        <f>VLOOKUP(O635,BulletType!A$1:F$35,4)</f>
        <v>0</v>
      </c>
      <c r="K635">
        <f>VLOOKUP(O635,BulletType!A$1:F$35,5)</f>
        <v>10</v>
      </c>
      <c r="L635">
        <f>VLOOKUP(O635,BulletType!A$1:F$35,5)</f>
        <v>10</v>
      </c>
      <c r="M635">
        <f>VLOOKUP(O635,BulletType!A$1:F$35,6)</f>
        <v>5</v>
      </c>
      <c r="N635" s="3" t="str">
        <f>VLOOKUP(P635,BulletColor!A$2:B658,2)</f>
        <v>0.25,1,1</v>
      </c>
      <c r="O635">
        <v>25</v>
      </c>
      <c r="P635" s="2">
        <v>7</v>
      </c>
      <c r="Q635" s="2">
        <f t="shared" si="41"/>
        <v>1</v>
      </c>
    </row>
    <row r="636" spans="1:17" x14ac:dyDescent="0.2">
      <c r="A636" s="1">
        <f t="shared" si="39"/>
        <v>125090</v>
      </c>
      <c r="B636" s="3" t="str">
        <f>VLOOKUP(O636,BulletType!A$1:F$35,2)&amp;VLOOKUP(P636,BulletColor!A$1:C$25,3)</f>
        <v>休止符深绿</v>
      </c>
      <c r="C636" s="3" t="str">
        <f t="shared" si="40"/>
        <v>Bullet125090</v>
      </c>
      <c r="D636" s="2">
        <f>VLOOKUP(O636,BulletType!A$2:N684,9)</f>
        <v>0</v>
      </c>
      <c r="E636" s="2">
        <f>VLOOKUP(O636,BulletType!A$2:N684,10)</f>
        <v>0</v>
      </c>
      <c r="F636" s="3" t="str">
        <f>CONCATENATE(VLOOKUP(O636,BulletType!A$2:I$35,8),VLOOKUP(P636,BulletColor!A$2:D$16,4))</f>
        <v>Bullet200090</v>
      </c>
      <c r="G636" s="3" t="str">
        <f>VLOOKUP(O636,BulletType!A$1:G$35,7)</f>
        <v>3.2,0.8</v>
      </c>
      <c r="H636" s="2">
        <f t="shared" si="38"/>
        <v>0</v>
      </c>
      <c r="I636">
        <f>VLOOKUP(O636,BulletType!A$1:F$35,3)</f>
        <v>1</v>
      </c>
      <c r="J636">
        <f>VLOOKUP(O636,BulletType!A$1:F$35,4)</f>
        <v>0</v>
      </c>
      <c r="K636">
        <f>VLOOKUP(O636,BulletType!A$1:F$35,5)</f>
        <v>10</v>
      </c>
      <c r="L636">
        <f>VLOOKUP(O636,BulletType!A$1:F$35,5)</f>
        <v>10</v>
      </c>
      <c r="M636">
        <f>VLOOKUP(O636,BulletType!A$1:F$35,6)</f>
        <v>5</v>
      </c>
      <c r="N636" s="3" t="str">
        <f>VLOOKUP(P636,BulletColor!A$2:B659,2)</f>
        <v>0.36,0.78,1</v>
      </c>
      <c r="O636">
        <v>25</v>
      </c>
      <c r="P636" s="2">
        <v>9</v>
      </c>
      <c r="Q636" s="2">
        <f t="shared" si="41"/>
        <v>0</v>
      </c>
    </row>
    <row r="637" spans="1:17" x14ac:dyDescent="0.2">
      <c r="A637" s="1">
        <f t="shared" si="39"/>
        <v>125091</v>
      </c>
      <c r="B637" s="3" t="str">
        <f>VLOOKUP(O637,BulletType!A$1:F$35,2)&amp;VLOOKUP(P637,BulletColor!A$1:C$25,3)</f>
        <v>休止符深绿</v>
      </c>
      <c r="C637" s="3" t="str">
        <f t="shared" si="40"/>
        <v>Bullet125090</v>
      </c>
      <c r="D637" s="2">
        <f>VLOOKUP(O637,BulletType!A$2:N685,9)</f>
        <v>0</v>
      </c>
      <c r="E637" s="2">
        <f>VLOOKUP(O637,BulletType!A$2:N685,10)</f>
        <v>0</v>
      </c>
      <c r="F637" s="3" t="str">
        <f>CONCATENATE(VLOOKUP(O637,BulletType!A$2:I$35,8),VLOOKUP(P637,BulletColor!A$2:D$16,4))</f>
        <v>Bullet200090</v>
      </c>
      <c r="G637" s="3" t="str">
        <f>VLOOKUP(O637,BulletType!A$1:G$35,7)</f>
        <v>3.2,0.8</v>
      </c>
      <c r="H637" s="2">
        <f t="shared" si="38"/>
        <v>1</v>
      </c>
      <c r="I637">
        <f>VLOOKUP(O637,BulletType!A$1:F$35,3)</f>
        <v>1</v>
      </c>
      <c r="J637">
        <f>VLOOKUP(O637,BulletType!A$1:F$35,4)</f>
        <v>0</v>
      </c>
      <c r="K637">
        <f>VLOOKUP(O637,BulletType!A$1:F$35,5)</f>
        <v>10</v>
      </c>
      <c r="L637">
        <f>VLOOKUP(O637,BulletType!A$1:F$35,5)</f>
        <v>10</v>
      </c>
      <c r="M637">
        <f>VLOOKUP(O637,BulletType!A$1:F$35,6)</f>
        <v>5</v>
      </c>
      <c r="N637" s="3" t="str">
        <f>VLOOKUP(P637,BulletColor!A$2:B660,2)</f>
        <v>0.36,0.78,1</v>
      </c>
      <c r="O637">
        <v>25</v>
      </c>
      <c r="P637" s="2">
        <v>9</v>
      </c>
      <c r="Q637" s="2">
        <f t="shared" si="41"/>
        <v>1</v>
      </c>
    </row>
    <row r="638" spans="1:17" x14ac:dyDescent="0.2">
      <c r="A638" s="1">
        <f t="shared" si="39"/>
        <v>125130</v>
      </c>
      <c r="B638" s="3" t="str">
        <f>VLOOKUP(O638,BulletType!A$1:F$35,2)&amp;VLOOKUP(P638,BulletColor!A$1:C$25,3)</f>
        <v>休止符浅黄</v>
      </c>
      <c r="C638" s="3" t="str">
        <f t="shared" si="40"/>
        <v>Bullet125130</v>
      </c>
      <c r="D638" s="2">
        <f>VLOOKUP(O638,BulletType!A$2:N686,9)</f>
        <v>0</v>
      </c>
      <c r="E638" s="2">
        <f>VLOOKUP(O638,BulletType!A$2:N686,10)</f>
        <v>0</v>
      </c>
      <c r="F638" s="3" t="str">
        <f>CONCATENATE(VLOOKUP(O638,BulletType!A$2:I$35,8),VLOOKUP(P638,BulletColor!A$2:D$16,4))</f>
        <v>Bullet200130</v>
      </c>
      <c r="G638" s="3" t="str">
        <f>VLOOKUP(O638,BulletType!A$1:G$35,7)</f>
        <v>3.2,0.8</v>
      </c>
      <c r="H638" s="2">
        <f t="shared" si="38"/>
        <v>0</v>
      </c>
      <c r="I638">
        <f>VLOOKUP(O638,BulletType!A$1:F$35,3)</f>
        <v>1</v>
      </c>
      <c r="J638">
        <f>VLOOKUP(O638,BulletType!A$1:F$35,4)</f>
        <v>0</v>
      </c>
      <c r="K638">
        <f>VLOOKUP(O638,BulletType!A$1:F$35,5)</f>
        <v>10</v>
      </c>
      <c r="L638">
        <f>VLOOKUP(O638,BulletType!A$1:F$35,5)</f>
        <v>10</v>
      </c>
      <c r="M638">
        <f>VLOOKUP(O638,BulletType!A$1:F$35,6)</f>
        <v>5</v>
      </c>
      <c r="N638" s="3" t="str">
        <f>VLOOKUP(P638,BulletColor!A$2:B661,2)</f>
        <v>0.9,1,0.4</v>
      </c>
      <c r="O638">
        <v>25</v>
      </c>
      <c r="P638" s="2">
        <v>13</v>
      </c>
      <c r="Q638" s="2">
        <f t="shared" si="41"/>
        <v>0</v>
      </c>
    </row>
    <row r="639" spans="1:17" x14ac:dyDescent="0.2">
      <c r="A639" s="1">
        <f t="shared" si="39"/>
        <v>125131</v>
      </c>
      <c r="B639" s="3" t="str">
        <f>VLOOKUP(O639,BulletType!A$1:F$35,2)&amp;VLOOKUP(P639,BulletColor!A$1:C$25,3)</f>
        <v>休止符浅黄</v>
      </c>
      <c r="C639" s="3" t="str">
        <f t="shared" si="40"/>
        <v>Bullet125130</v>
      </c>
      <c r="D639" s="2">
        <f>VLOOKUP(O639,BulletType!A$2:N687,9)</f>
        <v>0</v>
      </c>
      <c r="E639" s="2">
        <f>VLOOKUP(O639,BulletType!A$2:N687,10)</f>
        <v>0</v>
      </c>
      <c r="F639" s="3" t="str">
        <f>CONCATENATE(VLOOKUP(O639,BulletType!A$2:I$35,8),VLOOKUP(P639,BulletColor!A$2:D$16,4))</f>
        <v>Bullet200130</v>
      </c>
      <c r="G639" s="3" t="str">
        <f>VLOOKUP(O639,BulletType!A$1:G$35,7)</f>
        <v>3.2,0.8</v>
      </c>
      <c r="H639" s="2">
        <f t="shared" si="38"/>
        <v>1</v>
      </c>
      <c r="I639">
        <f>VLOOKUP(O639,BulletType!A$1:F$35,3)</f>
        <v>1</v>
      </c>
      <c r="J639">
        <f>VLOOKUP(O639,BulletType!A$1:F$35,4)</f>
        <v>0</v>
      </c>
      <c r="K639">
        <f>VLOOKUP(O639,BulletType!A$1:F$35,5)</f>
        <v>10</v>
      </c>
      <c r="L639">
        <f>VLOOKUP(O639,BulletType!A$1:F$35,5)</f>
        <v>10</v>
      </c>
      <c r="M639">
        <f>VLOOKUP(O639,BulletType!A$1:F$35,6)</f>
        <v>5</v>
      </c>
      <c r="N639" s="3" t="str">
        <f>VLOOKUP(P639,BulletColor!A$2:B662,2)</f>
        <v>0.9,1,0.4</v>
      </c>
      <c r="O639">
        <v>25</v>
      </c>
      <c r="P639" s="2">
        <v>13</v>
      </c>
      <c r="Q639" s="2">
        <f t="shared" si="41"/>
        <v>1</v>
      </c>
    </row>
    <row r="640" spans="1:17" x14ac:dyDescent="0.2">
      <c r="A640" s="1">
        <f t="shared" si="39"/>
        <v>125150</v>
      </c>
      <c r="B640" s="3" t="str">
        <f>VLOOKUP(O640,BulletType!A$1:F$35,2)&amp;VLOOKUP(P640,BulletColor!A$1:C$25,3)</f>
        <v>休止符白</v>
      </c>
      <c r="C640" s="3" t="str">
        <f t="shared" si="40"/>
        <v>Bullet125150</v>
      </c>
      <c r="D640" s="2">
        <f>VLOOKUP(O640,BulletType!A$2:N688,9)</f>
        <v>0</v>
      </c>
      <c r="E640" s="2">
        <f>VLOOKUP(O640,BulletType!A$2:N688,10)</f>
        <v>0</v>
      </c>
      <c r="F640" s="3" t="str">
        <f>CONCATENATE(VLOOKUP(O640,BulletType!A$2:I$35,8),VLOOKUP(P640,BulletColor!A$2:D$16,4))</f>
        <v>Bullet200130</v>
      </c>
      <c r="G640" s="3" t="str">
        <f>VLOOKUP(O640,BulletType!A$1:G$35,7)</f>
        <v>3.2,0.8</v>
      </c>
      <c r="H640" s="2">
        <f t="shared" si="38"/>
        <v>0</v>
      </c>
      <c r="I640">
        <f>VLOOKUP(O640,BulletType!A$1:F$35,3)</f>
        <v>1</v>
      </c>
      <c r="J640">
        <f>VLOOKUP(O640,BulletType!A$1:F$35,4)</f>
        <v>0</v>
      </c>
      <c r="K640">
        <f>VLOOKUP(O640,BulletType!A$1:F$35,5)</f>
        <v>10</v>
      </c>
      <c r="L640">
        <f>VLOOKUP(O640,BulletType!A$1:F$35,5)</f>
        <v>10</v>
      </c>
      <c r="M640">
        <f>VLOOKUP(O640,BulletType!A$1:F$35,6)</f>
        <v>5</v>
      </c>
      <c r="N640" s="3" t="str">
        <f>VLOOKUP(P640,BulletColor!A$2:B663,2)</f>
        <v>0.8,0.8,0.8</v>
      </c>
      <c r="O640">
        <v>25</v>
      </c>
      <c r="P640" s="2">
        <v>15</v>
      </c>
      <c r="Q640" s="2">
        <f t="shared" si="41"/>
        <v>0</v>
      </c>
    </row>
    <row r="641" spans="1:17" x14ac:dyDescent="0.2">
      <c r="A641" s="1">
        <f t="shared" si="39"/>
        <v>125151</v>
      </c>
      <c r="B641" s="3" t="str">
        <f>VLOOKUP(O641,BulletType!A$1:F$35,2)&amp;VLOOKUP(P641,BulletColor!A$1:C$25,3)</f>
        <v>休止符白</v>
      </c>
      <c r="C641" s="3" t="str">
        <f t="shared" si="40"/>
        <v>Bullet125150</v>
      </c>
      <c r="D641" s="2">
        <f>VLOOKUP(O641,BulletType!A$2:N689,9)</f>
        <v>0</v>
      </c>
      <c r="E641" s="2">
        <f>VLOOKUP(O641,BulletType!A$2:N689,10)</f>
        <v>0</v>
      </c>
      <c r="F641" s="3" t="str">
        <f>CONCATENATE(VLOOKUP(O641,BulletType!A$2:I$35,8),VLOOKUP(P641,BulletColor!A$2:D$16,4))</f>
        <v>Bullet200130</v>
      </c>
      <c r="G641" s="3" t="str">
        <f>VLOOKUP(O641,BulletType!A$1:G$35,7)</f>
        <v>3.2,0.8</v>
      </c>
      <c r="H641" s="2">
        <f t="shared" si="38"/>
        <v>1</v>
      </c>
      <c r="I641">
        <f>VLOOKUP(O641,BulletType!A$1:F$35,3)</f>
        <v>1</v>
      </c>
      <c r="J641">
        <f>VLOOKUP(O641,BulletType!A$1:F$35,4)</f>
        <v>0</v>
      </c>
      <c r="K641">
        <f>VLOOKUP(O641,BulletType!A$1:F$35,5)</f>
        <v>10</v>
      </c>
      <c r="L641">
        <f>VLOOKUP(O641,BulletType!A$1:F$35,5)</f>
        <v>10</v>
      </c>
      <c r="M641">
        <f>VLOOKUP(O641,BulletType!A$1:F$35,6)</f>
        <v>5</v>
      </c>
      <c r="N641" s="3" t="str">
        <f>VLOOKUP(P641,BulletColor!A$2:B664,2)</f>
        <v>0.8,0.8,0.8</v>
      </c>
      <c r="O641">
        <v>25</v>
      </c>
      <c r="P641" s="2">
        <v>15</v>
      </c>
      <c r="Q641" s="2">
        <f t="shared" si="41"/>
        <v>1</v>
      </c>
    </row>
    <row r="642" spans="1:17" x14ac:dyDescent="0.2">
      <c r="A642" s="1">
        <f t="shared" si="39"/>
        <v>126010</v>
      </c>
      <c r="B642" s="3" t="str">
        <f>VLOOKUP(O642,BulletType!A$1:F$35,2)&amp;VLOOKUP(P642,BulletColor!A$1:C$25,3)</f>
        <v>炎弹深红</v>
      </c>
      <c r="C642" s="3" t="str">
        <f>CONCATENATE("Bullet",INT(A642/10)*10)</f>
        <v>Bullet126010</v>
      </c>
      <c r="D642">
        <f>VLOOKUP(O642,BulletType!A$2:N690,9)</f>
        <v>4</v>
      </c>
      <c r="E642">
        <f>VLOOKUP(O642,BulletType!A$2:N690,10)</f>
        <v>6</v>
      </c>
      <c r="F642" s="3" t="str">
        <f>CONCATENATE(VLOOKUP(O642,BulletType!A$2:I$35,8),VLOOKUP(P642,BulletColor!A$2:D$16,4))</f>
        <v>Bullet200010</v>
      </c>
      <c r="G642" s="3" t="str">
        <f>VLOOKUP(O642,BulletType!A$1:G$35,7)</f>
        <v>3,1</v>
      </c>
      <c r="H642" s="2">
        <f>INT(Q642)</f>
        <v>0</v>
      </c>
      <c r="I642">
        <f>VLOOKUP(O642,BulletType!A$1:F$35,3)</f>
        <v>1</v>
      </c>
      <c r="J642">
        <f>VLOOKUP(O642,BulletType!A$1:F$35,4)</f>
        <v>0</v>
      </c>
      <c r="K642">
        <f>VLOOKUP(O642,BulletType!A$1:F$35,5)</f>
        <v>12</v>
      </c>
      <c r="L642">
        <f>VLOOKUP(O642,BulletType!A$1:F$35,5)</f>
        <v>12</v>
      </c>
      <c r="M642">
        <f>VLOOKUP(O642,BulletType!A$1:F$35,6)</f>
        <v>6</v>
      </c>
      <c r="N642" s="3" t="str">
        <f>VLOOKUP(P642,BulletColor!A$2:B665,2)</f>
        <v>0.625,0.3,0.3</v>
      </c>
      <c r="O642" s="2">
        <v>26</v>
      </c>
      <c r="P642" s="2">
        <v>1</v>
      </c>
      <c r="Q642" s="2">
        <f>MOD((ROW()-2),2)</f>
        <v>0</v>
      </c>
    </row>
    <row r="643" spans="1:17" x14ac:dyDescent="0.2">
      <c r="A643" s="1">
        <f t="shared" ref="A643:A706" si="42">VALUE(CONCATENATE(1,(REPT(0,2-LEN(O643))&amp;O643),REPT(0,2-LEN(P643))&amp;(P643),Q643))</f>
        <v>126011</v>
      </c>
      <c r="B643" s="3" t="str">
        <f>VLOOKUP(O643,BulletType!A$1:F$35,2)&amp;VLOOKUP(P643,BulletColor!A$1:C$25,3)</f>
        <v>炎弹深红</v>
      </c>
      <c r="C643" s="3" t="str">
        <f>CONCATENATE("Bullet",INT(A643/10)*10)</f>
        <v>Bullet126010</v>
      </c>
      <c r="D643">
        <f>VLOOKUP(O643,BulletType!A$2:N691,9)</f>
        <v>4</v>
      </c>
      <c r="E643">
        <f>VLOOKUP(O643,BulletType!A$2:N691,10)</f>
        <v>6</v>
      </c>
      <c r="F643" s="3" t="str">
        <f>CONCATENATE(VLOOKUP(O643,BulletType!A$2:I$35,8),VLOOKUP(P643,BulletColor!A$2:D$16,4))</f>
        <v>Bullet200010</v>
      </c>
      <c r="G643" s="3" t="str">
        <f>VLOOKUP(O643,BulletType!A$1:G$35,7)</f>
        <v>3,1</v>
      </c>
      <c r="H643" s="2">
        <f>INT(Q643)</f>
        <v>1</v>
      </c>
      <c r="I643">
        <f>VLOOKUP(O643,BulletType!A$1:F$35,3)</f>
        <v>1</v>
      </c>
      <c r="J643">
        <f>VLOOKUP(O643,BulletType!A$1:F$35,4)</f>
        <v>0</v>
      </c>
      <c r="K643">
        <f>VLOOKUP(O643,BulletType!A$1:F$35,5)</f>
        <v>12</v>
      </c>
      <c r="L643">
        <f>VLOOKUP(O643,BulletType!A$1:F$35,5)</f>
        <v>12</v>
      </c>
      <c r="M643">
        <f>VLOOKUP(O643,BulletType!A$1:F$35,6)</f>
        <v>6</v>
      </c>
      <c r="N643" s="3" t="str">
        <f>VLOOKUP(P643,BulletColor!A$2:B666,2)</f>
        <v>0.625,0.3,0.3</v>
      </c>
      <c r="O643" s="2">
        <v>26</v>
      </c>
      <c r="P643" s="2">
        <v>1</v>
      </c>
      <c r="Q643" s="2">
        <f>MOD((ROW()-2),2)</f>
        <v>1</v>
      </c>
    </row>
    <row r="644" spans="1:17" x14ac:dyDescent="0.2">
      <c r="A644" s="1">
        <f t="shared" si="42"/>
        <v>126030</v>
      </c>
      <c r="B644" s="3" t="str">
        <f>VLOOKUP(O644,BulletType!A$1:F$35,2)&amp;VLOOKUP(P644,BulletColor!A$1:C$25,3)</f>
        <v>炎弹深紫</v>
      </c>
      <c r="C644" s="3" t="str">
        <f>CONCATENATE("Bullet",INT(A644/10)*10)</f>
        <v>Bullet126030</v>
      </c>
      <c r="D644">
        <f>VLOOKUP(O644,BulletType!A$2:N692,9)</f>
        <v>4</v>
      </c>
      <c r="E644">
        <f>VLOOKUP(O644,BulletType!A$2:N692,10)</f>
        <v>6</v>
      </c>
      <c r="F644" s="3" t="str">
        <f>CONCATENATE(VLOOKUP(O644,BulletType!A$2:I$35,8),VLOOKUP(P644,BulletColor!A$2:D$16,4))</f>
        <v>Bullet200030</v>
      </c>
      <c r="G644" s="3" t="str">
        <f>VLOOKUP(O644,BulletType!A$1:G$35,7)</f>
        <v>3,1</v>
      </c>
      <c r="H644" s="2">
        <f>INT(Q644)</f>
        <v>0</v>
      </c>
      <c r="I644">
        <f>VLOOKUP(O644,BulletType!A$1:F$35,3)</f>
        <v>1</v>
      </c>
      <c r="J644">
        <f>VLOOKUP(O644,BulletType!A$1:F$35,4)</f>
        <v>0</v>
      </c>
      <c r="K644">
        <f>VLOOKUP(O644,BulletType!A$1:F$35,5)</f>
        <v>12</v>
      </c>
      <c r="L644">
        <f>VLOOKUP(O644,BulletType!A$1:F$35,5)</f>
        <v>12</v>
      </c>
      <c r="M644">
        <f>VLOOKUP(O644,BulletType!A$1:F$35,6)</f>
        <v>6</v>
      </c>
      <c r="N644" s="3" t="str">
        <f>VLOOKUP(P644,BulletColor!A$2:B667,2)</f>
        <v>1,0.65,1</v>
      </c>
      <c r="O644" s="2">
        <v>26</v>
      </c>
      <c r="P644" s="2">
        <v>3</v>
      </c>
      <c r="Q644" s="2">
        <f>MOD((ROW()-2),2)</f>
        <v>0</v>
      </c>
    </row>
    <row r="645" spans="1:17" x14ac:dyDescent="0.2">
      <c r="A645" s="1">
        <f t="shared" si="42"/>
        <v>126031</v>
      </c>
      <c r="B645" s="3" t="str">
        <f>VLOOKUP(O645,BulletType!A$1:F$35,2)&amp;VLOOKUP(P645,BulletColor!A$1:C$25,3)</f>
        <v>炎弹深紫</v>
      </c>
      <c r="C645" s="3" t="str">
        <f>CONCATENATE("Bullet",INT(A645/10)*10)</f>
        <v>Bullet126030</v>
      </c>
      <c r="D645">
        <f>VLOOKUP(O645,BulletType!A$2:N693,9)</f>
        <v>4</v>
      </c>
      <c r="E645">
        <f>VLOOKUP(O645,BulletType!A$2:N693,10)</f>
        <v>6</v>
      </c>
      <c r="F645" s="3" t="str">
        <f>CONCATENATE(VLOOKUP(O645,BulletType!A$2:I$35,8),VLOOKUP(P645,BulletColor!A$2:D$16,4))</f>
        <v>Bullet200030</v>
      </c>
      <c r="G645" s="3" t="str">
        <f>VLOOKUP(O645,BulletType!A$1:G$35,7)</f>
        <v>3,1</v>
      </c>
      <c r="H645" s="2">
        <f>INT(Q645)</f>
        <v>1</v>
      </c>
      <c r="I645">
        <f>VLOOKUP(O645,BulletType!A$1:F$35,3)</f>
        <v>1</v>
      </c>
      <c r="J645">
        <f>VLOOKUP(O645,BulletType!A$1:F$35,4)</f>
        <v>0</v>
      </c>
      <c r="K645">
        <f>VLOOKUP(O645,BulletType!A$1:F$35,5)</f>
        <v>12</v>
      </c>
      <c r="L645">
        <f>VLOOKUP(O645,BulletType!A$1:F$35,5)</f>
        <v>12</v>
      </c>
      <c r="M645">
        <f>VLOOKUP(O645,BulletType!A$1:F$35,6)</f>
        <v>6</v>
      </c>
      <c r="N645" s="3" t="str">
        <f>VLOOKUP(P645,BulletColor!A$2:B668,2)</f>
        <v>1,0.65,1</v>
      </c>
      <c r="O645" s="2">
        <v>26</v>
      </c>
      <c r="P645" s="2">
        <v>3</v>
      </c>
      <c r="Q645" s="2">
        <f>MOD((ROW()-2),2)</f>
        <v>1</v>
      </c>
    </row>
    <row r="646" spans="1:17" x14ac:dyDescent="0.2">
      <c r="A646" s="1">
        <f t="shared" si="42"/>
        <v>126050</v>
      </c>
      <c r="B646" s="3" t="str">
        <f>VLOOKUP(O646,BulletType!A$1:F$35,2)&amp;VLOOKUP(P646,BulletColor!A$1:C$25,3)</f>
        <v>炎弹深蓝</v>
      </c>
      <c r="C646" s="3" t="str">
        <f>CONCATENATE("Bullet",INT(A646/10)*10)</f>
        <v>Bullet126050</v>
      </c>
      <c r="D646">
        <f>VLOOKUP(O646,BulletType!A$2:N694,9)</f>
        <v>4</v>
      </c>
      <c r="E646">
        <f>VLOOKUP(O646,BulletType!A$2:N694,10)</f>
        <v>6</v>
      </c>
      <c r="F646" s="3" t="str">
        <f>CONCATENATE(VLOOKUP(O646,BulletType!A$2:I$35,8),VLOOKUP(P646,BulletColor!A$2:D$16,4))</f>
        <v>Bullet200050</v>
      </c>
      <c r="G646" s="3" t="str">
        <f>VLOOKUP(O646,BulletType!A$1:G$35,7)</f>
        <v>3,1</v>
      </c>
      <c r="H646" s="2">
        <f>INT(Q646)</f>
        <v>0</v>
      </c>
      <c r="I646">
        <f>VLOOKUP(O646,BulletType!A$1:F$35,3)</f>
        <v>1</v>
      </c>
      <c r="J646">
        <f>VLOOKUP(O646,BulletType!A$1:F$35,4)</f>
        <v>0</v>
      </c>
      <c r="K646">
        <f>VLOOKUP(O646,BulletType!A$1:F$35,5)</f>
        <v>12</v>
      </c>
      <c r="L646">
        <f>VLOOKUP(O646,BulletType!A$1:F$35,5)</f>
        <v>12</v>
      </c>
      <c r="M646">
        <f>VLOOKUP(O646,BulletType!A$1:F$35,6)</f>
        <v>6</v>
      </c>
      <c r="N646" s="3" t="str">
        <f>VLOOKUP(P646,BulletColor!A$2:B669,2)</f>
        <v>0,0.1,1</v>
      </c>
      <c r="O646" s="2">
        <v>26</v>
      </c>
      <c r="P646" s="2">
        <v>5</v>
      </c>
      <c r="Q646" s="2">
        <f>MOD((ROW()-2),2)</f>
        <v>0</v>
      </c>
    </row>
    <row r="647" spans="1:17" x14ac:dyDescent="0.2">
      <c r="A647" s="1">
        <f t="shared" si="42"/>
        <v>126051</v>
      </c>
      <c r="B647" s="3" t="str">
        <f>VLOOKUP(O647,BulletType!A$1:F$35,2)&amp;VLOOKUP(P647,BulletColor!A$1:C$25,3)</f>
        <v>炎弹深蓝</v>
      </c>
      <c r="C647" s="3" t="str">
        <f>CONCATENATE("Bullet",INT(A647/10)*10)</f>
        <v>Bullet126050</v>
      </c>
      <c r="D647">
        <f>VLOOKUP(O647,BulletType!A$2:N695,9)</f>
        <v>4</v>
      </c>
      <c r="E647">
        <f>VLOOKUP(O647,BulletType!A$2:N695,10)</f>
        <v>6</v>
      </c>
      <c r="F647" s="3" t="str">
        <f>CONCATENATE(VLOOKUP(O647,BulletType!A$2:I$35,8),VLOOKUP(P647,BulletColor!A$2:D$16,4))</f>
        <v>Bullet200050</v>
      </c>
      <c r="G647" s="3" t="str">
        <f>VLOOKUP(O647,BulletType!A$1:G$35,7)</f>
        <v>3,1</v>
      </c>
      <c r="H647" s="2">
        <f>INT(Q647)</f>
        <v>1</v>
      </c>
      <c r="I647">
        <f>VLOOKUP(O647,BulletType!A$1:F$35,3)</f>
        <v>1</v>
      </c>
      <c r="J647">
        <f>VLOOKUP(O647,BulletType!A$1:F$35,4)</f>
        <v>0</v>
      </c>
      <c r="K647">
        <f>VLOOKUP(O647,BulletType!A$1:F$35,5)</f>
        <v>12</v>
      </c>
      <c r="L647">
        <f>VLOOKUP(O647,BulletType!A$1:F$35,5)</f>
        <v>12</v>
      </c>
      <c r="M647">
        <f>VLOOKUP(O647,BulletType!A$1:F$35,6)</f>
        <v>6</v>
      </c>
      <c r="N647" s="3" t="str">
        <f>VLOOKUP(P647,BulletColor!A$2:B670,2)</f>
        <v>0,0.1,1</v>
      </c>
      <c r="O647" s="2">
        <v>26</v>
      </c>
      <c r="P647" s="2">
        <v>5</v>
      </c>
      <c r="Q647" s="2">
        <f>MOD((ROW()-2),2)</f>
        <v>1</v>
      </c>
    </row>
    <row r="648" spans="1:17" x14ac:dyDescent="0.2">
      <c r="A648" s="1">
        <f t="shared" si="42"/>
        <v>126130</v>
      </c>
      <c r="B648" s="3" t="str">
        <f>VLOOKUP(O648,BulletType!A$1:F$35,2)&amp;VLOOKUP(P648,BulletColor!A$1:C$25,3)</f>
        <v>炎弹浅黄</v>
      </c>
      <c r="C648" s="3" t="str">
        <f>CONCATENATE("Bullet",INT(A648/10)*10)</f>
        <v>Bullet126130</v>
      </c>
      <c r="D648">
        <f>VLOOKUP(O648,BulletType!A$2:N696,9)</f>
        <v>4</v>
      </c>
      <c r="E648">
        <f>VLOOKUP(O648,BulletType!A$2:N696,10)</f>
        <v>6</v>
      </c>
      <c r="F648" s="3" t="str">
        <f>CONCATENATE(VLOOKUP(O648,BulletType!A$2:I$35,8),VLOOKUP(P648,BulletColor!A$2:D$16,4))</f>
        <v>Bullet200130</v>
      </c>
      <c r="G648" s="3" t="str">
        <f>VLOOKUP(O648,BulletType!A$1:G$35,7)</f>
        <v>3,1</v>
      </c>
      <c r="H648" s="2">
        <f>INT(Q648)</f>
        <v>0</v>
      </c>
      <c r="I648">
        <f>VLOOKUP(O648,BulletType!A$1:F$35,3)</f>
        <v>1</v>
      </c>
      <c r="J648">
        <f>VLOOKUP(O648,BulletType!A$1:F$35,4)</f>
        <v>0</v>
      </c>
      <c r="K648">
        <f>VLOOKUP(O648,BulletType!A$1:F$35,5)</f>
        <v>12</v>
      </c>
      <c r="L648">
        <f>VLOOKUP(O648,BulletType!A$1:F$35,5)</f>
        <v>12</v>
      </c>
      <c r="M648">
        <f>VLOOKUP(O648,BulletType!A$1:F$35,6)</f>
        <v>6</v>
      </c>
      <c r="N648" s="3" t="str">
        <f>VLOOKUP(P648,BulletColor!A$2:B671,2)</f>
        <v>0.9,1,0.4</v>
      </c>
      <c r="O648" s="2">
        <v>26</v>
      </c>
      <c r="P648" s="2">
        <v>13</v>
      </c>
      <c r="Q648" s="2">
        <f>MOD((ROW()-2),2)</f>
        <v>0</v>
      </c>
    </row>
    <row r="649" spans="1:17" x14ac:dyDescent="0.2">
      <c r="A649" s="1">
        <f t="shared" si="42"/>
        <v>126131</v>
      </c>
      <c r="B649" s="3" t="str">
        <f>VLOOKUP(O649,BulletType!A$1:F$35,2)&amp;VLOOKUP(P649,BulletColor!A$1:C$25,3)</f>
        <v>炎弹浅黄</v>
      </c>
      <c r="C649" s="3" t="str">
        <f>CONCATENATE("Bullet",INT(A649/10)*10)</f>
        <v>Bullet126130</v>
      </c>
      <c r="D649">
        <f>VLOOKUP(O649,BulletType!A$2:N697,9)</f>
        <v>4</v>
      </c>
      <c r="E649">
        <f>VLOOKUP(O649,BulletType!A$2:N697,10)</f>
        <v>6</v>
      </c>
      <c r="F649" s="3" t="str">
        <f>CONCATENATE(VLOOKUP(O649,BulletType!A$2:I$35,8),VLOOKUP(P649,BulletColor!A$2:D$16,4))</f>
        <v>Bullet200130</v>
      </c>
      <c r="G649" s="3" t="str">
        <f>VLOOKUP(O649,BulletType!A$1:G$35,7)</f>
        <v>3,1</v>
      </c>
      <c r="H649" s="2">
        <f>INT(Q649)</f>
        <v>1</v>
      </c>
      <c r="I649">
        <f>VLOOKUP(O649,BulletType!A$1:F$35,3)</f>
        <v>1</v>
      </c>
      <c r="J649">
        <f>VLOOKUP(O649,BulletType!A$1:F$35,4)</f>
        <v>0</v>
      </c>
      <c r="K649">
        <f>VLOOKUP(O649,BulletType!A$1:F$35,5)</f>
        <v>12</v>
      </c>
      <c r="L649">
        <f>VLOOKUP(O649,BulletType!A$1:F$35,5)</f>
        <v>12</v>
      </c>
      <c r="M649">
        <f>VLOOKUP(O649,BulletType!A$1:F$35,6)</f>
        <v>6</v>
      </c>
      <c r="N649" s="3" t="str">
        <f>VLOOKUP(P649,BulletColor!A$2:B672,2)</f>
        <v>0.9,1,0.4</v>
      </c>
      <c r="O649" s="2">
        <v>26</v>
      </c>
      <c r="P649" s="2">
        <v>13</v>
      </c>
      <c r="Q649" s="2">
        <f>MOD((ROW()-2),2)</f>
        <v>1</v>
      </c>
    </row>
    <row r="650" spans="1:17" x14ac:dyDescent="0.2">
      <c r="A650" s="1">
        <f t="shared" si="42"/>
        <v>127010</v>
      </c>
      <c r="B650" s="3" t="str">
        <f>VLOOKUP(O650,BulletType!A$1:F$35,2)&amp;VLOOKUP(P650,BulletColor!A$1:C$25,3)</f>
        <v>音符深红</v>
      </c>
      <c r="C650" s="3" t="str">
        <f>CONCATENATE("Bullet",INT(A650/10)*10)</f>
        <v>Bullet127010</v>
      </c>
      <c r="D650">
        <f>VLOOKUP(O650,BulletType!A$2:N698,9)</f>
        <v>3</v>
      </c>
      <c r="E650">
        <f>VLOOKUP(O650,BulletType!A$2:N698,10)</f>
        <v>4</v>
      </c>
      <c r="F650" s="3" t="str">
        <f>CONCATENATE(VLOOKUP(O650,BulletType!A$2:I$35,8),VLOOKUP(P650,BulletColor!A$2:D$16,4))</f>
        <v>Bullet200010</v>
      </c>
      <c r="G650" s="3" t="str">
        <f>VLOOKUP(O650,BulletType!A$1:G$35,7)</f>
        <v>3,1</v>
      </c>
      <c r="H650" s="2">
        <f>INT(Q650)</f>
        <v>0</v>
      </c>
      <c r="I650">
        <f>VLOOKUP(O650,BulletType!A$1:F$35,3)</f>
        <v>1</v>
      </c>
      <c r="J650">
        <f>VLOOKUP(O650,BulletType!A$1:F$35,4)</f>
        <v>0</v>
      </c>
      <c r="K650">
        <f>VLOOKUP(O650,BulletType!A$1:F$35,5)</f>
        <v>8</v>
      </c>
      <c r="L650">
        <f>VLOOKUP(O650,BulletType!A$1:F$35,5)</f>
        <v>8</v>
      </c>
      <c r="M650">
        <f>VLOOKUP(O650,BulletType!A$1:F$35,6)</f>
        <v>4</v>
      </c>
      <c r="N650" s="3" t="str">
        <f>VLOOKUP(P650,BulletColor!A$2:B673,2)</f>
        <v>0.625,0.3,0.3</v>
      </c>
      <c r="O650" s="2">
        <v>27</v>
      </c>
      <c r="P650" s="2">
        <v>1</v>
      </c>
      <c r="Q650" s="2">
        <f>MOD((ROW()-2),2)</f>
        <v>0</v>
      </c>
    </row>
    <row r="651" spans="1:17" x14ac:dyDescent="0.2">
      <c r="A651" s="1">
        <f t="shared" si="42"/>
        <v>127011</v>
      </c>
      <c r="B651" s="3" t="str">
        <f>VLOOKUP(O651,BulletType!A$1:F$35,2)&amp;VLOOKUP(P651,BulletColor!A$1:C$25,3)</f>
        <v>音符深红</v>
      </c>
      <c r="C651" s="3" t="str">
        <f>CONCATENATE("Bullet",INT(A651/10)*10)</f>
        <v>Bullet127010</v>
      </c>
      <c r="D651">
        <f>VLOOKUP(O651,BulletType!A$2:N699,9)</f>
        <v>3</v>
      </c>
      <c r="E651">
        <f>VLOOKUP(O651,BulletType!A$2:N699,10)</f>
        <v>4</v>
      </c>
      <c r="F651" s="3" t="str">
        <f>CONCATENATE(VLOOKUP(O651,BulletType!A$2:I$35,8),VLOOKUP(P651,BulletColor!A$2:D$16,4))</f>
        <v>Bullet200010</v>
      </c>
      <c r="G651" s="3" t="str">
        <f>VLOOKUP(O651,BulletType!A$1:G$35,7)</f>
        <v>3,1</v>
      </c>
      <c r="H651" s="2">
        <f>INT(Q651)</f>
        <v>1</v>
      </c>
      <c r="I651">
        <f>VLOOKUP(O651,BulletType!A$1:F$35,3)</f>
        <v>1</v>
      </c>
      <c r="J651">
        <f>VLOOKUP(O651,BulletType!A$1:F$35,4)</f>
        <v>0</v>
      </c>
      <c r="K651">
        <f>VLOOKUP(O651,BulletType!A$1:F$35,5)</f>
        <v>8</v>
      </c>
      <c r="L651">
        <f>VLOOKUP(O651,BulletType!A$1:F$35,5)</f>
        <v>8</v>
      </c>
      <c r="M651">
        <f>VLOOKUP(O651,BulletType!A$1:F$35,6)</f>
        <v>4</v>
      </c>
      <c r="N651" s="3" t="str">
        <f>VLOOKUP(P651,BulletColor!A$2:B674,2)</f>
        <v>0.625,0.3,0.3</v>
      </c>
      <c r="O651" s="2">
        <v>27</v>
      </c>
      <c r="P651" s="2">
        <v>1</v>
      </c>
      <c r="Q651" s="2">
        <f>MOD((ROW()-2),2)</f>
        <v>1</v>
      </c>
    </row>
    <row r="652" spans="1:17" x14ac:dyDescent="0.2">
      <c r="A652" s="1">
        <f t="shared" si="42"/>
        <v>127030</v>
      </c>
      <c r="B652" s="3" t="str">
        <f>VLOOKUP(O652,BulletType!A$1:F$35,2)&amp;VLOOKUP(P652,BulletColor!A$1:C$25,3)</f>
        <v>音符深紫</v>
      </c>
      <c r="C652" s="3" t="str">
        <f>CONCATENATE("Bullet",INT(A652/10)*10)</f>
        <v>Bullet127030</v>
      </c>
      <c r="D652">
        <f>VLOOKUP(O652,BulletType!A$2:N700,9)</f>
        <v>3</v>
      </c>
      <c r="E652">
        <f>VLOOKUP(O652,BulletType!A$2:N700,10)</f>
        <v>4</v>
      </c>
      <c r="F652" s="3" t="str">
        <f>CONCATENATE(VLOOKUP(O652,BulletType!A$2:I$35,8),VLOOKUP(P652,BulletColor!A$2:D$16,4))</f>
        <v>Bullet200030</v>
      </c>
      <c r="G652" s="3" t="str">
        <f>VLOOKUP(O652,BulletType!A$1:G$35,7)</f>
        <v>3,1</v>
      </c>
      <c r="H652" s="2">
        <f>INT(Q652)</f>
        <v>0</v>
      </c>
      <c r="I652">
        <f>VLOOKUP(O652,BulletType!A$1:F$35,3)</f>
        <v>1</v>
      </c>
      <c r="J652">
        <f>VLOOKUP(O652,BulletType!A$1:F$35,4)</f>
        <v>0</v>
      </c>
      <c r="K652">
        <f>VLOOKUP(O652,BulletType!A$1:F$35,5)</f>
        <v>8</v>
      </c>
      <c r="L652">
        <f>VLOOKUP(O652,BulletType!A$1:F$35,5)</f>
        <v>8</v>
      </c>
      <c r="M652">
        <f>VLOOKUP(O652,BulletType!A$1:F$35,6)</f>
        <v>4</v>
      </c>
      <c r="N652" s="3" t="str">
        <f>VLOOKUP(P652,BulletColor!A$2:B675,2)</f>
        <v>1,0.65,1</v>
      </c>
      <c r="O652" s="2">
        <v>27</v>
      </c>
      <c r="P652" s="2">
        <v>3</v>
      </c>
      <c r="Q652" s="2">
        <f>MOD((ROW()-2),2)</f>
        <v>0</v>
      </c>
    </row>
    <row r="653" spans="1:17" x14ac:dyDescent="0.2">
      <c r="A653" s="1">
        <f t="shared" si="42"/>
        <v>127031</v>
      </c>
      <c r="B653" s="3" t="str">
        <f>VLOOKUP(O653,BulletType!A$1:F$35,2)&amp;VLOOKUP(P653,BulletColor!A$1:C$25,3)</f>
        <v>音符深紫</v>
      </c>
      <c r="C653" s="3" t="str">
        <f>CONCATENATE("Bullet",INT(A653/10)*10)</f>
        <v>Bullet127030</v>
      </c>
      <c r="D653">
        <f>VLOOKUP(O653,BulletType!A$2:N701,9)</f>
        <v>3</v>
      </c>
      <c r="E653">
        <f>VLOOKUP(O653,BulletType!A$2:N701,10)</f>
        <v>4</v>
      </c>
      <c r="F653" s="3" t="str">
        <f>CONCATENATE(VLOOKUP(O653,BulletType!A$2:I$35,8),VLOOKUP(P653,BulletColor!A$2:D$16,4))</f>
        <v>Bullet200030</v>
      </c>
      <c r="G653" s="3" t="str">
        <f>VLOOKUP(O653,BulletType!A$1:G$35,7)</f>
        <v>3,1</v>
      </c>
      <c r="H653" s="2">
        <f>INT(Q653)</f>
        <v>1</v>
      </c>
      <c r="I653">
        <f>VLOOKUP(O653,BulletType!A$1:F$35,3)</f>
        <v>1</v>
      </c>
      <c r="J653">
        <f>VLOOKUP(O653,BulletType!A$1:F$35,4)</f>
        <v>0</v>
      </c>
      <c r="K653">
        <f>VLOOKUP(O653,BulletType!A$1:F$35,5)</f>
        <v>8</v>
      </c>
      <c r="L653">
        <f>VLOOKUP(O653,BulletType!A$1:F$35,5)</f>
        <v>8</v>
      </c>
      <c r="M653">
        <f>VLOOKUP(O653,BulletType!A$1:F$35,6)</f>
        <v>4</v>
      </c>
      <c r="N653" s="3" t="str">
        <f>VLOOKUP(P653,BulletColor!A$2:B676,2)</f>
        <v>1,0.65,1</v>
      </c>
      <c r="O653" s="2">
        <v>27</v>
      </c>
      <c r="P653" s="2">
        <v>3</v>
      </c>
      <c r="Q653" s="2">
        <f>MOD((ROW()-2),2)</f>
        <v>1</v>
      </c>
    </row>
    <row r="654" spans="1:17" x14ac:dyDescent="0.2">
      <c r="A654" s="1">
        <f t="shared" si="42"/>
        <v>127050</v>
      </c>
      <c r="B654" s="3" t="str">
        <f>VLOOKUP(O654,BulletType!A$1:F$35,2)&amp;VLOOKUP(P654,BulletColor!A$1:C$25,3)</f>
        <v>音符深蓝</v>
      </c>
      <c r="C654" s="3" t="str">
        <f>CONCATENATE("Bullet",INT(A654/10)*10)</f>
        <v>Bullet127050</v>
      </c>
      <c r="D654">
        <f>VLOOKUP(O654,BulletType!A$2:N702,9)</f>
        <v>3</v>
      </c>
      <c r="E654">
        <f>VLOOKUP(O654,BulletType!A$2:N702,10)</f>
        <v>4</v>
      </c>
      <c r="F654" s="3" t="str">
        <f>CONCATENATE(VLOOKUP(O654,BulletType!A$2:I$35,8),VLOOKUP(P654,BulletColor!A$2:D$16,4))</f>
        <v>Bullet200050</v>
      </c>
      <c r="G654" s="3" t="str">
        <f>VLOOKUP(O654,BulletType!A$1:G$35,7)</f>
        <v>3,1</v>
      </c>
      <c r="H654" s="2">
        <f>INT(Q654)</f>
        <v>0</v>
      </c>
      <c r="I654">
        <f>VLOOKUP(O654,BulletType!A$1:F$35,3)</f>
        <v>1</v>
      </c>
      <c r="J654">
        <f>VLOOKUP(O654,BulletType!A$1:F$35,4)</f>
        <v>0</v>
      </c>
      <c r="K654">
        <f>VLOOKUP(O654,BulletType!A$1:F$35,5)</f>
        <v>8</v>
      </c>
      <c r="L654">
        <f>VLOOKUP(O654,BulletType!A$1:F$35,5)</f>
        <v>8</v>
      </c>
      <c r="M654">
        <f>VLOOKUP(O654,BulletType!A$1:F$35,6)</f>
        <v>4</v>
      </c>
      <c r="N654" s="3" t="str">
        <f>VLOOKUP(P654,BulletColor!A$2:B677,2)</f>
        <v>0,0.1,1</v>
      </c>
      <c r="O654" s="2">
        <v>27</v>
      </c>
      <c r="P654" s="2">
        <v>5</v>
      </c>
      <c r="Q654" s="2">
        <f>MOD((ROW()-2),2)</f>
        <v>0</v>
      </c>
    </row>
    <row r="655" spans="1:17" x14ac:dyDescent="0.2">
      <c r="A655" s="1">
        <f t="shared" si="42"/>
        <v>127051</v>
      </c>
      <c r="B655" s="3" t="str">
        <f>VLOOKUP(O655,BulletType!A$1:F$35,2)&amp;VLOOKUP(P655,BulletColor!A$1:C$25,3)</f>
        <v>音符深蓝</v>
      </c>
      <c r="C655" s="3" t="str">
        <f>CONCATENATE("Bullet",INT(A655/10)*10)</f>
        <v>Bullet127050</v>
      </c>
      <c r="D655">
        <f>VLOOKUP(O655,BulletType!A$2:N703,9)</f>
        <v>3</v>
      </c>
      <c r="E655">
        <f>VLOOKUP(O655,BulletType!A$2:N703,10)</f>
        <v>4</v>
      </c>
      <c r="F655" s="3" t="str">
        <f>CONCATENATE(VLOOKUP(O655,BulletType!A$2:I$35,8),VLOOKUP(P655,BulletColor!A$2:D$16,4))</f>
        <v>Bullet200050</v>
      </c>
      <c r="G655" s="3" t="str">
        <f>VLOOKUP(O655,BulletType!A$1:G$35,7)</f>
        <v>3,1</v>
      </c>
      <c r="H655" s="2">
        <f>INT(Q655)</f>
        <v>1</v>
      </c>
      <c r="I655">
        <f>VLOOKUP(O655,BulletType!A$1:F$35,3)</f>
        <v>1</v>
      </c>
      <c r="J655">
        <f>VLOOKUP(O655,BulletType!A$1:F$35,4)</f>
        <v>0</v>
      </c>
      <c r="K655">
        <f>VLOOKUP(O655,BulletType!A$1:F$35,5)</f>
        <v>8</v>
      </c>
      <c r="L655">
        <f>VLOOKUP(O655,BulletType!A$1:F$35,5)</f>
        <v>8</v>
      </c>
      <c r="M655">
        <f>VLOOKUP(O655,BulletType!A$1:F$35,6)</f>
        <v>4</v>
      </c>
      <c r="N655" s="3" t="str">
        <f>VLOOKUP(P655,BulletColor!A$2:B678,2)</f>
        <v>0,0.1,1</v>
      </c>
      <c r="O655" s="2">
        <v>27</v>
      </c>
      <c r="P655" s="2">
        <v>5</v>
      </c>
      <c r="Q655" s="2">
        <f>MOD((ROW()-2),2)</f>
        <v>1</v>
      </c>
    </row>
    <row r="656" spans="1:17" x14ac:dyDescent="0.2">
      <c r="A656" s="1">
        <f t="shared" si="42"/>
        <v>127130</v>
      </c>
      <c r="B656" s="3" t="str">
        <f>VLOOKUP(O656,BulletType!A$1:F$35,2)&amp;VLOOKUP(P656,BulletColor!A$1:C$25,3)</f>
        <v>音符浅黄</v>
      </c>
      <c r="C656" s="3" t="str">
        <f>CONCATENATE("Bullet",INT(A656/10)*10)</f>
        <v>Bullet127130</v>
      </c>
      <c r="D656">
        <f>VLOOKUP(O656,BulletType!A$2:N704,9)</f>
        <v>3</v>
      </c>
      <c r="E656">
        <f>VLOOKUP(O656,BulletType!A$2:N704,10)</f>
        <v>4</v>
      </c>
      <c r="F656" s="3" t="str">
        <f>CONCATENATE(VLOOKUP(O656,BulletType!A$2:I$35,8),VLOOKUP(P656,BulletColor!A$2:D$16,4))</f>
        <v>Bullet200130</v>
      </c>
      <c r="G656" s="3" t="str">
        <f>VLOOKUP(O656,BulletType!A$1:G$35,7)</f>
        <v>3,1</v>
      </c>
      <c r="H656" s="2">
        <f>INT(Q656)</f>
        <v>0</v>
      </c>
      <c r="I656">
        <f>VLOOKUP(O656,BulletType!A$1:F$35,3)</f>
        <v>1</v>
      </c>
      <c r="J656">
        <f>VLOOKUP(O656,BulletType!A$1:F$35,4)</f>
        <v>0</v>
      </c>
      <c r="K656">
        <f>VLOOKUP(O656,BulletType!A$1:F$35,5)</f>
        <v>8</v>
      </c>
      <c r="L656">
        <f>VLOOKUP(O656,BulletType!A$1:F$35,5)</f>
        <v>8</v>
      </c>
      <c r="M656">
        <f>VLOOKUP(O656,BulletType!A$1:F$35,6)</f>
        <v>4</v>
      </c>
      <c r="N656" s="3" t="str">
        <f>VLOOKUP(P656,BulletColor!A$2:B679,2)</f>
        <v>0.9,1,0.4</v>
      </c>
      <c r="O656" s="2">
        <v>27</v>
      </c>
      <c r="P656" s="2">
        <v>13</v>
      </c>
      <c r="Q656" s="2">
        <f>MOD((ROW()-2),2)</f>
        <v>0</v>
      </c>
    </row>
    <row r="657" spans="1:17" x14ac:dyDescent="0.2">
      <c r="A657" s="1">
        <f t="shared" si="42"/>
        <v>127131</v>
      </c>
      <c r="B657" s="3" t="str">
        <f>VLOOKUP(O657,BulletType!A$1:F$35,2)&amp;VLOOKUP(P657,BulletColor!A$1:C$25,3)</f>
        <v>音符浅黄</v>
      </c>
      <c r="C657" s="3" t="str">
        <f>CONCATENATE("Bullet",INT(A657/10)*10)</f>
        <v>Bullet127130</v>
      </c>
      <c r="D657">
        <f>VLOOKUP(O657,BulletType!A$2:N705,9)</f>
        <v>3</v>
      </c>
      <c r="E657">
        <f>VLOOKUP(O657,BulletType!A$2:N705,10)</f>
        <v>4</v>
      </c>
      <c r="F657" s="3" t="str">
        <f>CONCATENATE(VLOOKUP(O657,BulletType!A$2:I$35,8),VLOOKUP(P657,BulletColor!A$2:D$16,4))</f>
        <v>Bullet200130</v>
      </c>
      <c r="G657" s="3" t="str">
        <f>VLOOKUP(O657,BulletType!A$1:G$35,7)</f>
        <v>3,1</v>
      </c>
      <c r="H657" s="2">
        <f>INT(Q657)</f>
        <v>1</v>
      </c>
      <c r="I657">
        <f>VLOOKUP(O657,BulletType!A$1:F$35,3)</f>
        <v>1</v>
      </c>
      <c r="J657">
        <f>VLOOKUP(O657,BulletType!A$1:F$35,4)</f>
        <v>0</v>
      </c>
      <c r="K657">
        <f>VLOOKUP(O657,BulletType!A$1:F$35,5)</f>
        <v>8</v>
      </c>
      <c r="L657">
        <f>VLOOKUP(O657,BulletType!A$1:F$35,5)</f>
        <v>8</v>
      </c>
      <c r="M657">
        <f>VLOOKUP(O657,BulletType!A$1:F$35,6)</f>
        <v>4</v>
      </c>
      <c r="N657" s="3" t="str">
        <f>VLOOKUP(P657,BulletColor!A$2:B680,2)</f>
        <v>0.9,1,0.4</v>
      </c>
      <c r="O657" s="2">
        <v>27</v>
      </c>
      <c r="P657" s="2">
        <v>13</v>
      </c>
      <c r="Q657" s="2">
        <f>MOD((ROW()-2),2)</f>
        <v>1</v>
      </c>
    </row>
    <row r="658" spans="1:17" x14ac:dyDescent="0.2">
      <c r="A658" s="1">
        <f t="shared" si="42"/>
        <v>128000</v>
      </c>
      <c r="B658" s="3" t="str">
        <f>VLOOKUP(O658,BulletType!A$1:F$35,2)&amp;VLOOKUP(P658,BulletColor!A$1:C$25,3)</f>
        <v>灰</v>
      </c>
      <c r="C658" s="3" t="str">
        <f>CONCATENATE("Bullet",INT(A658/10)*10)</f>
        <v>Bullet128000</v>
      </c>
      <c r="D658">
        <f>VLOOKUP(O658,BulletType!A$2:N706,9)</f>
        <v>0</v>
      </c>
      <c r="E658">
        <f>VLOOKUP(O658,BulletType!A$2:N706,10)</f>
        <v>0</v>
      </c>
      <c r="F658" s="3" t="str">
        <f>CONCATENATE(VLOOKUP(O658,BulletType!A$2:I$35,8),VLOOKUP(P658,BulletColor!A$2:D$16,4))</f>
        <v>000</v>
      </c>
      <c r="G658" s="3">
        <f>VLOOKUP(O658,BulletType!A$1:G$35,7)</f>
        <v>0</v>
      </c>
      <c r="H658" s="2">
        <f>INT(Q658)</f>
        <v>0</v>
      </c>
      <c r="I658">
        <f>VLOOKUP(O658,BulletType!A$1:F$35,3)</f>
        <v>0</v>
      </c>
      <c r="J658">
        <f>VLOOKUP(O658,BulletType!A$1:F$35,4)</f>
        <v>0</v>
      </c>
      <c r="K658">
        <f>VLOOKUP(O658,BulletType!A$1:F$35,5)</f>
        <v>0</v>
      </c>
      <c r="L658">
        <f>VLOOKUP(O658,BulletType!A$1:F$35,5)</f>
        <v>0</v>
      </c>
      <c r="M658">
        <f>VLOOKUP(O658,BulletType!A$1:F$35,6)</f>
        <v>0</v>
      </c>
      <c r="N658" s="3" t="str">
        <f>VLOOKUP(P658,BulletColor!A$2:B681,2)</f>
        <v>0.5,0.5,0.5</v>
      </c>
      <c r="O658" s="2">
        <v>28</v>
      </c>
      <c r="P658" s="2">
        <v>0</v>
      </c>
      <c r="Q658" s="2">
        <f>MOD((ROW()-2),2)</f>
        <v>0</v>
      </c>
    </row>
    <row r="659" spans="1:17" x14ac:dyDescent="0.2">
      <c r="A659" s="1">
        <f t="shared" si="42"/>
        <v>128001</v>
      </c>
      <c r="B659" s="3" t="str">
        <f>VLOOKUP(O659,BulletType!A$1:F$35,2)&amp;VLOOKUP(P659,BulletColor!A$1:C$25,3)</f>
        <v>灰</v>
      </c>
      <c r="C659" s="3" t="str">
        <f>CONCATENATE("Bullet",INT(A659/10)*10)</f>
        <v>Bullet128000</v>
      </c>
      <c r="D659">
        <f>VLOOKUP(O659,BulletType!A$2:N707,9)</f>
        <v>0</v>
      </c>
      <c r="E659">
        <f>VLOOKUP(O659,BulletType!A$2:N707,10)</f>
        <v>0</v>
      </c>
      <c r="F659" s="3" t="str">
        <f>CONCATENATE(VLOOKUP(O659,BulletType!A$2:I$35,8),VLOOKUP(P659,BulletColor!A$2:D$16,4))</f>
        <v>000</v>
      </c>
      <c r="G659" s="3">
        <f>VLOOKUP(O659,BulletType!A$1:G$35,7)</f>
        <v>0</v>
      </c>
      <c r="H659" s="2">
        <f>INT(Q659)</f>
        <v>1</v>
      </c>
      <c r="I659">
        <f>VLOOKUP(O659,BulletType!A$1:F$35,3)</f>
        <v>0</v>
      </c>
      <c r="J659">
        <f>VLOOKUP(O659,BulletType!A$1:F$35,4)</f>
        <v>0</v>
      </c>
      <c r="K659">
        <f>VLOOKUP(O659,BulletType!A$1:F$35,5)</f>
        <v>0</v>
      </c>
      <c r="L659">
        <f>VLOOKUP(O659,BulletType!A$1:F$35,5)</f>
        <v>0</v>
      </c>
      <c r="M659">
        <f>VLOOKUP(O659,BulletType!A$1:F$35,6)</f>
        <v>0</v>
      </c>
      <c r="N659" s="3" t="str">
        <f>VLOOKUP(P659,BulletColor!A$2:B682,2)</f>
        <v>0.5,0.5,0.5</v>
      </c>
      <c r="O659" s="2">
        <v>28</v>
      </c>
      <c r="P659" s="2">
        <v>0</v>
      </c>
      <c r="Q659" s="2">
        <f>MOD((ROW()-2),2)</f>
        <v>1</v>
      </c>
    </row>
    <row r="660" spans="1:17" x14ac:dyDescent="0.2">
      <c r="A660" s="1">
        <f t="shared" si="42"/>
        <v>128010</v>
      </c>
      <c r="B660" s="3" t="str">
        <f>VLOOKUP(O660,BulletType!A$1:F$35,2)&amp;VLOOKUP(P660,BulletColor!A$1:C$25,3)</f>
        <v>深红</v>
      </c>
      <c r="C660" s="3" t="str">
        <f>CONCATENATE("Bullet",INT(A660/10)*10)</f>
        <v>Bullet128010</v>
      </c>
      <c r="D660">
        <f>VLOOKUP(O660,BulletType!A$2:N708,9)</f>
        <v>0</v>
      </c>
      <c r="E660">
        <f>VLOOKUP(O660,BulletType!A$2:N708,10)</f>
        <v>0</v>
      </c>
      <c r="F660" s="3" t="str">
        <f>CONCATENATE(VLOOKUP(O660,BulletType!A$2:I$35,8),VLOOKUP(P660,BulletColor!A$2:D$16,4))</f>
        <v>010</v>
      </c>
      <c r="G660" s="3">
        <f>VLOOKUP(O660,BulletType!A$1:G$35,7)</f>
        <v>0</v>
      </c>
      <c r="H660" s="2">
        <f>INT(Q660)</f>
        <v>0</v>
      </c>
      <c r="I660">
        <f>VLOOKUP(O660,BulletType!A$1:F$35,3)</f>
        <v>0</v>
      </c>
      <c r="J660">
        <f>VLOOKUP(O660,BulletType!A$1:F$35,4)</f>
        <v>0</v>
      </c>
      <c r="K660">
        <f>VLOOKUP(O660,BulletType!A$1:F$35,5)</f>
        <v>0</v>
      </c>
      <c r="L660">
        <f>VLOOKUP(O660,BulletType!A$1:F$35,5)</f>
        <v>0</v>
      </c>
      <c r="M660">
        <f>VLOOKUP(O660,BulletType!A$1:F$35,6)</f>
        <v>0</v>
      </c>
      <c r="N660" s="3" t="str">
        <f>VLOOKUP(P660,BulletColor!A$2:B683,2)</f>
        <v>0.625,0.3,0.3</v>
      </c>
      <c r="O660" s="2">
        <v>28</v>
      </c>
      <c r="P660" s="2">
        <v>1</v>
      </c>
      <c r="Q660" s="2">
        <f>MOD((ROW()-2),2)</f>
        <v>0</v>
      </c>
    </row>
    <row r="661" spans="1:17" x14ac:dyDescent="0.2">
      <c r="A661" s="1">
        <f t="shared" si="42"/>
        <v>128011</v>
      </c>
      <c r="B661" s="3" t="str">
        <f>VLOOKUP(O661,BulletType!A$1:F$35,2)&amp;VLOOKUP(P661,BulletColor!A$1:C$25,3)</f>
        <v>深红</v>
      </c>
      <c r="C661" s="3" t="str">
        <f>CONCATENATE("Bullet",INT(A661/10)*10)</f>
        <v>Bullet128010</v>
      </c>
      <c r="D661">
        <f>VLOOKUP(O661,BulletType!A$2:N709,9)</f>
        <v>0</v>
      </c>
      <c r="E661">
        <f>VLOOKUP(O661,BulletType!A$2:N709,10)</f>
        <v>0</v>
      </c>
      <c r="F661" s="3" t="str">
        <f>CONCATENATE(VLOOKUP(O661,BulletType!A$2:I$35,8),VLOOKUP(P661,BulletColor!A$2:D$16,4))</f>
        <v>010</v>
      </c>
      <c r="G661" s="3">
        <f>VLOOKUP(O661,BulletType!A$1:G$35,7)</f>
        <v>0</v>
      </c>
      <c r="H661" s="2">
        <f>INT(Q661)</f>
        <v>1</v>
      </c>
      <c r="I661">
        <f>VLOOKUP(O661,BulletType!A$1:F$35,3)</f>
        <v>0</v>
      </c>
      <c r="J661">
        <f>VLOOKUP(O661,BulletType!A$1:F$35,4)</f>
        <v>0</v>
      </c>
      <c r="K661">
        <f>VLOOKUP(O661,BulletType!A$1:F$35,5)</f>
        <v>0</v>
      </c>
      <c r="L661">
        <f>VLOOKUP(O661,BulletType!A$1:F$35,5)</f>
        <v>0</v>
      </c>
      <c r="M661">
        <f>VLOOKUP(O661,BulletType!A$1:F$35,6)</f>
        <v>0</v>
      </c>
      <c r="N661" s="3" t="str">
        <f>VLOOKUP(P661,BulletColor!A$2:B684,2)</f>
        <v>0.625,0.3,0.3</v>
      </c>
      <c r="O661" s="2">
        <v>28</v>
      </c>
      <c r="P661" s="2">
        <v>1</v>
      </c>
      <c r="Q661" s="2">
        <f>MOD((ROW()-2),2)</f>
        <v>1</v>
      </c>
    </row>
    <row r="662" spans="1:17" x14ac:dyDescent="0.2">
      <c r="A662" s="1">
        <f t="shared" si="42"/>
        <v>128020</v>
      </c>
      <c r="B662" s="3" t="str">
        <f>VLOOKUP(O662,BulletType!A$1:F$35,2)&amp;VLOOKUP(P662,BulletColor!A$1:C$25,3)</f>
        <v>红</v>
      </c>
      <c r="C662" s="3" t="str">
        <f>CONCATENATE("Bullet",INT(A662/10)*10)</f>
        <v>Bullet128020</v>
      </c>
      <c r="D662">
        <f>VLOOKUP(O662,BulletType!A$2:N710,9)</f>
        <v>0</v>
      </c>
      <c r="E662">
        <f>VLOOKUP(O662,BulletType!A$2:N710,10)</f>
        <v>0</v>
      </c>
      <c r="F662" s="3" t="str">
        <f>CONCATENATE(VLOOKUP(O662,BulletType!A$2:I$35,8),VLOOKUP(P662,BulletColor!A$2:D$16,4))</f>
        <v>010</v>
      </c>
      <c r="G662" s="3">
        <f>VLOOKUP(O662,BulletType!A$1:G$35,7)</f>
        <v>0</v>
      </c>
      <c r="H662" s="2">
        <f>INT(Q662)</f>
        <v>0</v>
      </c>
      <c r="I662">
        <f>VLOOKUP(O662,BulletType!A$1:F$35,3)</f>
        <v>0</v>
      </c>
      <c r="J662">
        <f>VLOOKUP(O662,BulletType!A$1:F$35,4)</f>
        <v>0</v>
      </c>
      <c r="K662">
        <f>VLOOKUP(O662,BulletType!A$1:F$35,5)</f>
        <v>0</v>
      </c>
      <c r="L662">
        <f>VLOOKUP(O662,BulletType!A$1:F$35,5)</f>
        <v>0</v>
      </c>
      <c r="M662">
        <f>VLOOKUP(O662,BulletType!A$1:F$35,6)</f>
        <v>0</v>
      </c>
      <c r="N662" s="3" t="str">
        <f>VLOOKUP(P662,BulletColor!A$2:B685,2)</f>
        <v>0.8,0.3,0.3</v>
      </c>
      <c r="O662" s="2">
        <v>28</v>
      </c>
      <c r="P662" s="2">
        <v>2</v>
      </c>
      <c r="Q662" s="2">
        <f>MOD((ROW()-2),2)</f>
        <v>0</v>
      </c>
    </row>
    <row r="663" spans="1:17" x14ac:dyDescent="0.2">
      <c r="A663" s="1">
        <f t="shared" si="42"/>
        <v>128021</v>
      </c>
      <c r="B663" s="3" t="str">
        <f>VLOOKUP(O663,BulletType!A$1:F$35,2)&amp;VLOOKUP(P663,BulletColor!A$1:C$25,3)</f>
        <v>红</v>
      </c>
      <c r="C663" s="3" t="str">
        <f>CONCATENATE("Bullet",INT(A663/10)*10)</f>
        <v>Bullet128020</v>
      </c>
      <c r="D663">
        <f>VLOOKUP(O663,BulletType!A$2:N711,9)</f>
        <v>0</v>
      </c>
      <c r="E663">
        <f>VLOOKUP(O663,BulletType!A$2:N711,10)</f>
        <v>0</v>
      </c>
      <c r="F663" s="3" t="str">
        <f>CONCATENATE(VLOOKUP(O663,BulletType!A$2:I$35,8),VLOOKUP(P663,BulletColor!A$2:D$16,4))</f>
        <v>010</v>
      </c>
      <c r="G663" s="3">
        <f>VLOOKUP(O663,BulletType!A$1:G$35,7)</f>
        <v>0</v>
      </c>
      <c r="H663" s="2">
        <f>INT(Q663)</f>
        <v>1</v>
      </c>
      <c r="I663">
        <f>VLOOKUP(O663,BulletType!A$1:F$35,3)</f>
        <v>0</v>
      </c>
      <c r="J663">
        <f>VLOOKUP(O663,BulletType!A$1:F$35,4)</f>
        <v>0</v>
      </c>
      <c r="K663">
        <f>VLOOKUP(O663,BulletType!A$1:F$35,5)</f>
        <v>0</v>
      </c>
      <c r="L663">
        <f>VLOOKUP(O663,BulletType!A$1:F$35,5)</f>
        <v>0</v>
      </c>
      <c r="M663">
        <f>VLOOKUP(O663,BulletType!A$1:F$35,6)</f>
        <v>0</v>
      </c>
      <c r="N663" s="3" t="str">
        <f>VLOOKUP(P663,BulletColor!A$2:B686,2)</f>
        <v>0.8,0.3,0.3</v>
      </c>
      <c r="O663" s="2">
        <v>28</v>
      </c>
      <c r="P663" s="2">
        <v>2</v>
      </c>
      <c r="Q663" s="2">
        <f>MOD((ROW()-2),2)</f>
        <v>1</v>
      </c>
    </row>
    <row r="664" spans="1:17" x14ac:dyDescent="0.2">
      <c r="A664" s="1">
        <f t="shared" si="42"/>
        <v>128030</v>
      </c>
      <c r="B664" s="3" t="str">
        <f>VLOOKUP(O664,BulletType!A$1:F$35,2)&amp;VLOOKUP(P664,BulletColor!A$1:C$25,3)</f>
        <v>深紫</v>
      </c>
      <c r="C664" s="3" t="str">
        <f>CONCATENATE("Bullet",INT(A664/10)*10)</f>
        <v>Bullet128030</v>
      </c>
      <c r="D664">
        <f>VLOOKUP(O664,BulletType!A$2:N712,9)</f>
        <v>0</v>
      </c>
      <c r="E664">
        <f>VLOOKUP(O664,BulletType!A$2:N712,10)</f>
        <v>0</v>
      </c>
      <c r="F664" s="3" t="str">
        <f>CONCATENATE(VLOOKUP(O664,BulletType!A$2:I$35,8),VLOOKUP(P664,BulletColor!A$2:D$16,4))</f>
        <v>030</v>
      </c>
      <c r="G664" s="3">
        <f>VLOOKUP(O664,BulletType!A$1:G$35,7)</f>
        <v>0</v>
      </c>
      <c r="H664" s="2">
        <f>INT(Q664)</f>
        <v>0</v>
      </c>
      <c r="I664">
        <f>VLOOKUP(O664,BulletType!A$1:F$35,3)</f>
        <v>0</v>
      </c>
      <c r="J664">
        <f>VLOOKUP(O664,BulletType!A$1:F$35,4)</f>
        <v>0</v>
      </c>
      <c r="K664">
        <f>VLOOKUP(O664,BulletType!A$1:F$35,5)</f>
        <v>0</v>
      </c>
      <c r="L664">
        <f>VLOOKUP(O664,BulletType!A$1:F$35,5)</f>
        <v>0</v>
      </c>
      <c r="M664">
        <f>VLOOKUP(O664,BulletType!A$1:F$35,6)</f>
        <v>0</v>
      </c>
      <c r="N664" s="3" t="str">
        <f>VLOOKUP(P664,BulletColor!A$2:B687,2)</f>
        <v>1,0.65,1</v>
      </c>
      <c r="O664" s="2">
        <v>28</v>
      </c>
      <c r="P664" s="2">
        <v>3</v>
      </c>
      <c r="Q664" s="2">
        <f>MOD((ROW()-2),2)</f>
        <v>0</v>
      </c>
    </row>
    <row r="665" spans="1:17" x14ac:dyDescent="0.2">
      <c r="A665" s="1">
        <f t="shared" si="42"/>
        <v>128031</v>
      </c>
      <c r="B665" s="3" t="str">
        <f>VLOOKUP(O665,BulletType!A$1:F$35,2)&amp;VLOOKUP(P665,BulletColor!A$1:C$25,3)</f>
        <v>深紫</v>
      </c>
      <c r="C665" s="3" t="str">
        <f>CONCATENATE("Bullet",INT(A665/10)*10)</f>
        <v>Bullet128030</v>
      </c>
      <c r="D665">
        <f>VLOOKUP(O665,BulletType!A$2:N713,9)</f>
        <v>0</v>
      </c>
      <c r="E665">
        <f>VLOOKUP(O665,BulletType!A$2:N713,10)</f>
        <v>0</v>
      </c>
      <c r="F665" s="3" t="str">
        <f>CONCATENATE(VLOOKUP(O665,BulletType!A$2:I$35,8),VLOOKUP(P665,BulletColor!A$2:D$16,4))</f>
        <v>030</v>
      </c>
      <c r="G665" s="3">
        <f>VLOOKUP(O665,BulletType!A$1:G$35,7)</f>
        <v>0</v>
      </c>
      <c r="H665" s="2">
        <f>INT(Q665)</f>
        <v>1</v>
      </c>
      <c r="I665">
        <f>VLOOKUP(O665,BulletType!A$1:F$35,3)</f>
        <v>0</v>
      </c>
      <c r="J665">
        <f>VLOOKUP(O665,BulletType!A$1:F$35,4)</f>
        <v>0</v>
      </c>
      <c r="K665">
        <f>VLOOKUP(O665,BulletType!A$1:F$35,5)</f>
        <v>0</v>
      </c>
      <c r="L665">
        <f>VLOOKUP(O665,BulletType!A$1:F$35,5)</f>
        <v>0</v>
      </c>
      <c r="M665">
        <f>VLOOKUP(O665,BulletType!A$1:F$35,6)</f>
        <v>0</v>
      </c>
      <c r="N665" s="3" t="str">
        <f>VLOOKUP(P665,BulletColor!A$2:B688,2)</f>
        <v>1,0.65,1</v>
      </c>
      <c r="O665" s="2">
        <v>28</v>
      </c>
      <c r="P665" s="2">
        <v>3</v>
      </c>
      <c r="Q665" s="2">
        <f>MOD((ROW()-2),2)</f>
        <v>1</v>
      </c>
    </row>
    <row r="666" spans="1:17" x14ac:dyDescent="0.2">
      <c r="A666" s="1">
        <f t="shared" si="42"/>
        <v>128040</v>
      </c>
      <c r="B666" s="3" t="str">
        <f>VLOOKUP(O666,BulletType!A$1:F$35,2)&amp;VLOOKUP(P666,BulletColor!A$1:C$25,3)</f>
        <v>紫</v>
      </c>
      <c r="C666" s="3" t="str">
        <f>CONCATENATE("Bullet",INT(A666/10)*10)</f>
        <v>Bullet128040</v>
      </c>
      <c r="D666">
        <f>VLOOKUP(O666,BulletType!A$2:N714,9)</f>
        <v>0</v>
      </c>
      <c r="E666">
        <f>VLOOKUP(O666,BulletType!A$2:N714,10)</f>
        <v>0</v>
      </c>
      <c r="F666" s="3" t="str">
        <f>CONCATENATE(VLOOKUP(O666,BulletType!A$2:I$35,8),VLOOKUP(P666,BulletColor!A$2:D$16,4))</f>
        <v>030</v>
      </c>
      <c r="G666" s="3">
        <f>VLOOKUP(O666,BulletType!A$1:G$35,7)</f>
        <v>0</v>
      </c>
      <c r="H666" s="2">
        <f>INT(Q666)</f>
        <v>0</v>
      </c>
      <c r="I666">
        <f>VLOOKUP(O666,BulletType!A$1:F$35,3)</f>
        <v>0</v>
      </c>
      <c r="J666">
        <f>VLOOKUP(O666,BulletType!A$1:F$35,4)</f>
        <v>0</v>
      </c>
      <c r="K666">
        <f>VLOOKUP(O666,BulletType!A$1:F$35,5)</f>
        <v>0</v>
      </c>
      <c r="L666">
        <f>VLOOKUP(O666,BulletType!A$1:F$35,5)</f>
        <v>0</v>
      </c>
      <c r="M666">
        <f>VLOOKUP(O666,BulletType!A$1:F$35,6)</f>
        <v>0</v>
      </c>
      <c r="N666" s="3" t="str">
        <f>VLOOKUP(P666,BulletColor!A$2:B689,2)</f>
        <v>1,0.65,1</v>
      </c>
      <c r="O666" s="2">
        <v>28</v>
      </c>
      <c r="P666" s="2">
        <v>4</v>
      </c>
      <c r="Q666" s="2">
        <f>MOD((ROW()-2),2)</f>
        <v>0</v>
      </c>
    </row>
    <row r="667" spans="1:17" x14ac:dyDescent="0.2">
      <c r="A667" s="1">
        <f t="shared" si="42"/>
        <v>128041</v>
      </c>
      <c r="B667" s="3" t="str">
        <f>VLOOKUP(O667,BulletType!A$1:F$35,2)&amp;VLOOKUP(P667,BulletColor!A$1:C$25,3)</f>
        <v>紫</v>
      </c>
      <c r="C667" s="3" t="str">
        <f>CONCATENATE("Bullet",INT(A667/10)*10)</f>
        <v>Bullet128040</v>
      </c>
      <c r="D667">
        <f>VLOOKUP(O667,BulletType!A$2:N715,9)</f>
        <v>0</v>
      </c>
      <c r="E667">
        <f>VLOOKUP(O667,BulletType!A$2:N715,10)</f>
        <v>0</v>
      </c>
      <c r="F667" s="3" t="str">
        <f>CONCATENATE(VLOOKUP(O667,BulletType!A$2:I$35,8),VLOOKUP(P667,BulletColor!A$2:D$16,4))</f>
        <v>030</v>
      </c>
      <c r="G667" s="3">
        <f>VLOOKUP(O667,BulletType!A$1:G$35,7)</f>
        <v>0</v>
      </c>
      <c r="H667" s="2">
        <f>INT(Q667)</f>
        <v>1</v>
      </c>
      <c r="I667">
        <f>VLOOKUP(O667,BulletType!A$1:F$35,3)</f>
        <v>0</v>
      </c>
      <c r="J667">
        <f>VLOOKUP(O667,BulletType!A$1:F$35,4)</f>
        <v>0</v>
      </c>
      <c r="K667">
        <f>VLOOKUP(O667,BulletType!A$1:F$35,5)</f>
        <v>0</v>
      </c>
      <c r="L667">
        <f>VLOOKUP(O667,BulletType!A$1:F$35,5)</f>
        <v>0</v>
      </c>
      <c r="M667">
        <f>VLOOKUP(O667,BulletType!A$1:F$35,6)</f>
        <v>0</v>
      </c>
      <c r="N667" s="3" t="str">
        <f>VLOOKUP(P667,BulletColor!A$2:B690,2)</f>
        <v>1,0.65,1</v>
      </c>
      <c r="O667" s="2">
        <v>28</v>
      </c>
      <c r="P667" s="2">
        <v>4</v>
      </c>
      <c r="Q667" s="2">
        <f>MOD((ROW()-2),2)</f>
        <v>1</v>
      </c>
    </row>
    <row r="668" spans="1:17" x14ac:dyDescent="0.2">
      <c r="A668" s="1">
        <f t="shared" si="42"/>
        <v>128050</v>
      </c>
      <c r="B668" s="3" t="str">
        <f>VLOOKUP(O668,BulletType!A$1:F$35,2)&amp;VLOOKUP(P668,BulletColor!A$1:C$25,3)</f>
        <v>深蓝</v>
      </c>
      <c r="C668" s="3" t="str">
        <f>CONCATENATE("Bullet",INT(A668/10)*10)</f>
        <v>Bullet128050</v>
      </c>
      <c r="D668">
        <f>VLOOKUP(O668,BulletType!A$2:N716,9)</f>
        <v>0</v>
      </c>
      <c r="E668">
        <f>VLOOKUP(O668,BulletType!A$2:N716,10)</f>
        <v>0</v>
      </c>
      <c r="F668" s="3" t="str">
        <f>CONCATENATE(VLOOKUP(O668,BulletType!A$2:I$35,8),VLOOKUP(P668,BulletColor!A$2:D$16,4))</f>
        <v>050</v>
      </c>
      <c r="G668" s="3">
        <f>VLOOKUP(O668,BulletType!A$1:G$35,7)</f>
        <v>0</v>
      </c>
      <c r="H668" s="2">
        <f>INT(Q668)</f>
        <v>0</v>
      </c>
      <c r="I668">
        <f>VLOOKUP(O668,BulletType!A$1:F$35,3)</f>
        <v>0</v>
      </c>
      <c r="J668">
        <f>VLOOKUP(O668,BulletType!A$1:F$35,4)</f>
        <v>0</v>
      </c>
      <c r="K668">
        <f>VLOOKUP(O668,BulletType!A$1:F$35,5)</f>
        <v>0</v>
      </c>
      <c r="L668">
        <f>VLOOKUP(O668,BulletType!A$1:F$35,5)</f>
        <v>0</v>
      </c>
      <c r="M668">
        <f>VLOOKUP(O668,BulletType!A$1:F$35,6)</f>
        <v>0</v>
      </c>
      <c r="N668" s="3" t="str">
        <f>VLOOKUP(P668,BulletColor!A$2:B691,2)</f>
        <v>0,0.1,1</v>
      </c>
      <c r="O668" s="2">
        <v>28</v>
      </c>
      <c r="P668" s="2">
        <v>5</v>
      </c>
      <c r="Q668" s="2">
        <f>MOD((ROW()-2),2)</f>
        <v>0</v>
      </c>
    </row>
    <row r="669" spans="1:17" x14ac:dyDescent="0.2">
      <c r="A669" s="1">
        <f t="shared" si="42"/>
        <v>128051</v>
      </c>
      <c r="B669" s="3" t="str">
        <f>VLOOKUP(O669,BulletType!A$1:F$35,2)&amp;VLOOKUP(P669,BulletColor!A$1:C$25,3)</f>
        <v>深蓝</v>
      </c>
      <c r="C669" s="3" t="str">
        <f>CONCATENATE("Bullet",INT(A669/10)*10)</f>
        <v>Bullet128050</v>
      </c>
      <c r="D669">
        <f>VLOOKUP(O669,BulletType!A$2:N717,9)</f>
        <v>0</v>
      </c>
      <c r="E669">
        <f>VLOOKUP(O669,BulletType!A$2:N717,10)</f>
        <v>0</v>
      </c>
      <c r="F669" s="3" t="str">
        <f>CONCATENATE(VLOOKUP(O669,BulletType!A$2:I$35,8),VLOOKUP(P669,BulletColor!A$2:D$16,4))</f>
        <v>050</v>
      </c>
      <c r="G669" s="3">
        <f>VLOOKUP(O669,BulletType!A$1:G$35,7)</f>
        <v>0</v>
      </c>
      <c r="H669" s="2">
        <f>INT(Q669)</f>
        <v>1</v>
      </c>
      <c r="I669">
        <f>VLOOKUP(O669,BulletType!A$1:F$35,3)</f>
        <v>0</v>
      </c>
      <c r="J669">
        <f>VLOOKUP(O669,BulletType!A$1:F$35,4)</f>
        <v>0</v>
      </c>
      <c r="K669">
        <f>VLOOKUP(O669,BulletType!A$1:F$35,5)</f>
        <v>0</v>
      </c>
      <c r="L669">
        <f>VLOOKUP(O669,BulletType!A$1:F$35,5)</f>
        <v>0</v>
      </c>
      <c r="M669">
        <f>VLOOKUP(O669,BulletType!A$1:F$35,6)</f>
        <v>0</v>
      </c>
      <c r="N669" s="3" t="str">
        <f>VLOOKUP(P669,BulletColor!A$2:B692,2)</f>
        <v>0,0.1,1</v>
      </c>
      <c r="O669" s="2">
        <v>28</v>
      </c>
      <c r="P669" s="2">
        <v>5</v>
      </c>
      <c r="Q669" s="2">
        <f>MOD((ROW()-2),2)</f>
        <v>1</v>
      </c>
    </row>
    <row r="670" spans="1:17" x14ac:dyDescent="0.2">
      <c r="A670" s="1">
        <f t="shared" si="42"/>
        <v>128060</v>
      </c>
      <c r="B670" s="3" t="str">
        <f>VLOOKUP(O670,BulletType!A$1:F$35,2)&amp;VLOOKUP(P670,BulletColor!A$1:C$25,3)</f>
        <v>蓝</v>
      </c>
      <c r="C670" s="3" t="str">
        <f>CONCATENATE("Bullet",INT(A670/10)*10)</f>
        <v>Bullet128060</v>
      </c>
      <c r="D670">
        <f>VLOOKUP(O670,BulletType!A$2:N718,9)</f>
        <v>0</v>
      </c>
      <c r="E670">
        <f>VLOOKUP(O670,BulletType!A$2:N718,10)</f>
        <v>0</v>
      </c>
      <c r="F670" s="3" t="str">
        <f>CONCATENATE(VLOOKUP(O670,BulletType!A$2:I$35,8),VLOOKUP(P670,BulletColor!A$2:D$16,4))</f>
        <v>050</v>
      </c>
      <c r="G670" s="3">
        <f>VLOOKUP(O670,BulletType!A$1:G$35,7)</f>
        <v>0</v>
      </c>
      <c r="H670" s="2">
        <f>INT(Q670)</f>
        <v>0</v>
      </c>
      <c r="I670">
        <f>VLOOKUP(O670,BulletType!A$1:F$35,3)</f>
        <v>0</v>
      </c>
      <c r="J670">
        <f>VLOOKUP(O670,BulletType!A$1:F$35,4)</f>
        <v>0</v>
      </c>
      <c r="K670">
        <f>VLOOKUP(O670,BulletType!A$1:F$35,5)</f>
        <v>0</v>
      </c>
      <c r="L670">
        <f>VLOOKUP(O670,BulletType!A$1:F$35,5)</f>
        <v>0</v>
      </c>
      <c r="M670">
        <f>VLOOKUP(O670,BulletType!A$1:F$35,6)</f>
        <v>0</v>
      </c>
      <c r="N670" s="3" t="str">
        <f>VLOOKUP(P670,BulletColor!A$2:B693,2)</f>
        <v>0,0.1,1</v>
      </c>
      <c r="O670" s="2">
        <v>28</v>
      </c>
      <c r="P670" s="2">
        <v>6</v>
      </c>
      <c r="Q670" s="2">
        <f>MOD((ROW()-2),2)</f>
        <v>0</v>
      </c>
    </row>
    <row r="671" spans="1:17" x14ac:dyDescent="0.2">
      <c r="A671" s="1">
        <f t="shared" si="42"/>
        <v>128061</v>
      </c>
      <c r="B671" s="3" t="str">
        <f>VLOOKUP(O671,BulletType!A$1:F$35,2)&amp;VLOOKUP(P671,BulletColor!A$1:C$25,3)</f>
        <v>蓝</v>
      </c>
      <c r="C671" s="3" t="str">
        <f>CONCATENATE("Bullet",INT(A671/10)*10)</f>
        <v>Bullet128060</v>
      </c>
      <c r="D671">
        <f>VLOOKUP(O671,BulletType!A$2:N719,9)</f>
        <v>0</v>
      </c>
      <c r="E671">
        <f>VLOOKUP(O671,BulletType!A$2:N719,10)</f>
        <v>0</v>
      </c>
      <c r="F671" s="3" t="str">
        <f>CONCATENATE(VLOOKUP(O671,BulletType!A$2:I$35,8),VLOOKUP(P671,BulletColor!A$2:D$16,4))</f>
        <v>050</v>
      </c>
      <c r="G671" s="3">
        <f>VLOOKUP(O671,BulletType!A$1:G$35,7)</f>
        <v>0</v>
      </c>
      <c r="H671" s="2">
        <f>INT(Q671)</f>
        <v>1</v>
      </c>
      <c r="I671">
        <f>VLOOKUP(O671,BulletType!A$1:F$35,3)</f>
        <v>0</v>
      </c>
      <c r="J671">
        <f>VLOOKUP(O671,BulletType!A$1:F$35,4)</f>
        <v>0</v>
      </c>
      <c r="K671">
        <f>VLOOKUP(O671,BulletType!A$1:F$35,5)</f>
        <v>0</v>
      </c>
      <c r="L671">
        <f>VLOOKUP(O671,BulletType!A$1:F$35,5)</f>
        <v>0</v>
      </c>
      <c r="M671">
        <f>VLOOKUP(O671,BulletType!A$1:F$35,6)</f>
        <v>0</v>
      </c>
      <c r="N671" s="3" t="str">
        <f>VLOOKUP(P671,BulletColor!A$2:B694,2)</f>
        <v>0,0.1,1</v>
      </c>
      <c r="O671" s="2">
        <v>28</v>
      </c>
      <c r="P671" s="2">
        <v>6</v>
      </c>
      <c r="Q671" s="2">
        <f>MOD((ROW()-2),2)</f>
        <v>1</v>
      </c>
    </row>
    <row r="672" spans="1:17" x14ac:dyDescent="0.2">
      <c r="A672" s="1">
        <f t="shared" si="42"/>
        <v>128070</v>
      </c>
      <c r="B672" s="3" t="str">
        <f>VLOOKUP(O672,BulletType!A$1:F$35,2)&amp;VLOOKUP(P672,BulletColor!A$1:C$25,3)</f>
        <v>深青</v>
      </c>
      <c r="C672" s="3" t="str">
        <f>CONCATENATE("Bullet",INT(A672/10)*10)</f>
        <v>Bullet128070</v>
      </c>
      <c r="D672">
        <f>VLOOKUP(O672,BulletType!A$2:N720,9)</f>
        <v>0</v>
      </c>
      <c r="E672">
        <f>VLOOKUP(O672,BulletType!A$2:N720,10)</f>
        <v>0</v>
      </c>
      <c r="F672" s="3" t="str">
        <f>CONCATENATE(VLOOKUP(O672,BulletType!A$2:I$35,8),VLOOKUP(P672,BulletColor!A$2:D$16,4))</f>
        <v>070</v>
      </c>
      <c r="G672" s="3">
        <f>VLOOKUP(O672,BulletType!A$1:G$35,7)</f>
        <v>0</v>
      </c>
      <c r="H672" s="2">
        <f>INT(Q672)</f>
        <v>0</v>
      </c>
      <c r="I672">
        <f>VLOOKUP(O672,BulletType!A$1:F$35,3)</f>
        <v>0</v>
      </c>
      <c r="J672">
        <f>VLOOKUP(O672,BulletType!A$1:F$35,4)</f>
        <v>0</v>
      </c>
      <c r="K672">
        <f>VLOOKUP(O672,BulletType!A$1:F$35,5)</f>
        <v>0</v>
      </c>
      <c r="L672">
        <f>VLOOKUP(O672,BulletType!A$1:F$35,5)</f>
        <v>0</v>
      </c>
      <c r="M672">
        <f>VLOOKUP(O672,BulletType!A$1:F$35,6)</f>
        <v>0</v>
      </c>
      <c r="N672" s="3" t="str">
        <f>VLOOKUP(P672,BulletColor!A$2:B695,2)</f>
        <v>0.25,1,1</v>
      </c>
      <c r="O672" s="2">
        <v>28</v>
      </c>
      <c r="P672" s="2">
        <v>7</v>
      </c>
      <c r="Q672" s="2">
        <f>MOD((ROW()-2),2)</f>
        <v>0</v>
      </c>
    </row>
    <row r="673" spans="1:17" x14ac:dyDescent="0.2">
      <c r="A673" s="1">
        <f t="shared" si="42"/>
        <v>128071</v>
      </c>
      <c r="B673" s="3" t="str">
        <f>VLOOKUP(O673,BulletType!A$1:F$35,2)&amp;VLOOKUP(P673,BulletColor!A$1:C$25,3)</f>
        <v>深青</v>
      </c>
      <c r="C673" s="3" t="str">
        <f>CONCATENATE("Bullet",INT(A673/10)*10)</f>
        <v>Bullet128070</v>
      </c>
      <c r="D673">
        <f>VLOOKUP(O673,BulletType!A$2:N721,9)</f>
        <v>0</v>
      </c>
      <c r="E673">
        <f>VLOOKUP(O673,BulletType!A$2:N721,10)</f>
        <v>0</v>
      </c>
      <c r="F673" s="3" t="str">
        <f>CONCATENATE(VLOOKUP(O673,BulletType!A$2:I$35,8),VLOOKUP(P673,BulletColor!A$2:D$16,4))</f>
        <v>070</v>
      </c>
      <c r="G673" s="3">
        <f>VLOOKUP(O673,BulletType!A$1:G$35,7)</f>
        <v>0</v>
      </c>
      <c r="H673" s="2">
        <f>INT(Q673)</f>
        <v>1</v>
      </c>
      <c r="I673">
        <f>VLOOKUP(O673,BulletType!A$1:F$35,3)</f>
        <v>0</v>
      </c>
      <c r="J673">
        <f>VLOOKUP(O673,BulletType!A$1:F$35,4)</f>
        <v>0</v>
      </c>
      <c r="K673">
        <f>VLOOKUP(O673,BulletType!A$1:F$35,5)</f>
        <v>0</v>
      </c>
      <c r="L673">
        <f>VLOOKUP(O673,BulletType!A$1:F$35,5)</f>
        <v>0</v>
      </c>
      <c r="M673">
        <f>VLOOKUP(O673,BulletType!A$1:F$35,6)</f>
        <v>0</v>
      </c>
      <c r="N673" s="3" t="str">
        <f>VLOOKUP(P673,BulletColor!A$2:B696,2)</f>
        <v>0.25,1,1</v>
      </c>
      <c r="O673" s="2">
        <v>28</v>
      </c>
      <c r="P673" s="2">
        <v>7</v>
      </c>
      <c r="Q673" s="2">
        <f>MOD((ROW()-2),2)</f>
        <v>1</v>
      </c>
    </row>
    <row r="674" spans="1:17" x14ac:dyDescent="0.2">
      <c r="A674" s="1">
        <f t="shared" si="42"/>
        <v>128080</v>
      </c>
      <c r="B674" s="3" t="str">
        <f>VLOOKUP(O674,BulletType!A$1:F$35,2)&amp;VLOOKUP(P674,BulletColor!A$1:C$25,3)</f>
        <v>青</v>
      </c>
      <c r="C674" s="3" t="str">
        <f>CONCATENATE("Bullet",INT(A674/10)*10)</f>
        <v>Bullet128080</v>
      </c>
      <c r="D674">
        <f>VLOOKUP(O674,BulletType!A$2:N722,9)</f>
        <v>0</v>
      </c>
      <c r="E674">
        <f>VLOOKUP(O674,BulletType!A$2:N722,10)</f>
        <v>0</v>
      </c>
      <c r="F674" s="3" t="str">
        <f>CONCATENATE(VLOOKUP(O674,BulletType!A$2:I$35,8),VLOOKUP(P674,BulletColor!A$2:D$16,4))</f>
        <v>070</v>
      </c>
      <c r="G674" s="3">
        <f>VLOOKUP(O674,BulletType!A$1:G$35,7)</f>
        <v>0</v>
      </c>
      <c r="H674" s="2">
        <f>INT(Q674)</f>
        <v>0</v>
      </c>
      <c r="I674">
        <f>VLOOKUP(O674,BulletType!A$1:F$35,3)</f>
        <v>0</v>
      </c>
      <c r="J674">
        <f>VLOOKUP(O674,BulletType!A$1:F$35,4)</f>
        <v>0</v>
      </c>
      <c r="K674">
        <f>VLOOKUP(O674,BulletType!A$1:F$35,5)</f>
        <v>0</v>
      </c>
      <c r="L674">
        <f>VLOOKUP(O674,BulletType!A$1:F$35,5)</f>
        <v>0</v>
      </c>
      <c r="M674">
        <f>VLOOKUP(O674,BulletType!A$1:F$35,6)</f>
        <v>0</v>
      </c>
      <c r="N674" s="3" t="str">
        <f>VLOOKUP(P674,BulletColor!A$2:B697,2)</f>
        <v>0.25,1,1</v>
      </c>
      <c r="O674" s="2">
        <v>28</v>
      </c>
      <c r="P674" s="2">
        <v>8</v>
      </c>
      <c r="Q674" s="2">
        <f>MOD((ROW()-2),2)</f>
        <v>0</v>
      </c>
    </row>
    <row r="675" spans="1:17" x14ac:dyDescent="0.2">
      <c r="A675" s="1">
        <f t="shared" si="42"/>
        <v>128081</v>
      </c>
      <c r="B675" s="3" t="str">
        <f>VLOOKUP(O675,BulletType!A$1:F$35,2)&amp;VLOOKUP(P675,BulletColor!A$1:C$25,3)</f>
        <v>青</v>
      </c>
      <c r="C675" s="3" t="str">
        <f>CONCATENATE("Bullet",INT(A675/10)*10)</f>
        <v>Bullet128080</v>
      </c>
      <c r="D675">
        <f>VLOOKUP(O675,BulletType!A$2:N723,9)</f>
        <v>0</v>
      </c>
      <c r="E675">
        <f>VLOOKUP(O675,BulletType!A$2:N723,10)</f>
        <v>0</v>
      </c>
      <c r="F675" s="3" t="str">
        <f>CONCATENATE(VLOOKUP(O675,BulletType!A$2:I$35,8),VLOOKUP(P675,BulletColor!A$2:D$16,4))</f>
        <v>070</v>
      </c>
      <c r="G675" s="3">
        <f>VLOOKUP(O675,BulletType!A$1:G$35,7)</f>
        <v>0</v>
      </c>
      <c r="H675" s="2">
        <f>INT(Q675)</f>
        <v>1</v>
      </c>
      <c r="I675">
        <f>VLOOKUP(O675,BulletType!A$1:F$35,3)</f>
        <v>0</v>
      </c>
      <c r="J675">
        <f>VLOOKUP(O675,BulletType!A$1:F$35,4)</f>
        <v>0</v>
      </c>
      <c r="K675">
        <f>VLOOKUP(O675,BulletType!A$1:F$35,5)</f>
        <v>0</v>
      </c>
      <c r="L675">
        <f>VLOOKUP(O675,BulletType!A$1:F$35,5)</f>
        <v>0</v>
      </c>
      <c r="M675">
        <f>VLOOKUP(O675,BulletType!A$1:F$35,6)</f>
        <v>0</v>
      </c>
      <c r="N675" s="3" t="str">
        <f>VLOOKUP(P675,BulletColor!A$2:B698,2)</f>
        <v>0.25,1,1</v>
      </c>
      <c r="O675" s="2">
        <v>28</v>
      </c>
      <c r="P675" s="2">
        <v>8</v>
      </c>
      <c r="Q675" s="2">
        <f>MOD((ROW()-2),2)</f>
        <v>1</v>
      </c>
    </row>
    <row r="676" spans="1:17" x14ac:dyDescent="0.2">
      <c r="A676" s="1">
        <f t="shared" si="42"/>
        <v>128090</v>
      </c>
      <c r="B676" s="3" t="str">
        <f>VLOOKUP(O676,BulletType!A$1:F$35,2)&amp;VLOOKUP(P676,BulletColor!A$1:C$25,3)</f>
        <v>深绿</v>
      </c>
      <c r="C676" s="3" t="str">
        <f>CONCATENATE("Bullet",INT(A676/10)*10)</f>
        <v>Bullet128090</v>
      </c>
      <c r="D676">
        <f>VLOOKUP(O676,BulletType!A$2:N724,9)</f>
        <v>0</v>
      </c>
      <c r="E676">
        <f>VLOOKUP(O676,BulletType!A$2:N724,10)</f>
        <v>0</v>
      </c>
      <c r="F676" s="3" t="str">
        <f>CONCATENATE(VLOOKUP(O676,BulletType!A$2:I$35,8),VLOOKUP(P676,BulletColor!A$2:D$16,4))</f>
        <v>090</v>
      </c>
      <c r="G676" s="3">
        <f>VLOOKUP(O676,BulletType!A$1:G$35,7)</f>
        <v>0</v>
      </c>
      <c r="H676" s="2">
        <f>INT(Q676)</f>
        <v>0</v>
      </c>
      <c r="I676">
        <f>VLOOKUP(O676,BulletType!A$1:F$35,3)</f>
        <v>0</v>
      </c>
      <c r="J676">
        <f>VLOOKUP(O676,BulletType!A$1:F$35,4)</f>
        <v>0</v>
      </c>
      <c r="K676">
        <f>VLOOKUP(O676,BulletType!A$1:F$35,5)</f>
        <v>0</v>
      </c>
      <c r="L676">
        <f>VLOOKUP(O676,BulletType!A$1:F$35,5)</f>
        <v>0</v>
      </c>
      <c r="M676">
        <f>VLOOKUP(O676,BulletType!A$1:F$35,6)</f>
        <v>0</v>
      </c>
      <c r="N676" s="3" t="str">
        <f>VLOOKUP(P676,BulletColor!A$2:B699,2)</f>
        <v>0.36,0.78,1</v>
      </c>
      <c r="O676" s="2">
        <v>28</v>
      </c>
      <c r="P676" s="2">
        <v>9</v>
      </c>
      <c r="Q676" s="2">
        <f>MOD((ROW()-2),2)</f>
        <v>0</v>
      </c>
    </row>
    <row r="677" spans="1:17" x14ac:dyDescent="0.2">
      <c r="A677" s="1">
        <f t="shared" si="42"/>
        <v>128091</v>
      </c>
      <c r="B677" s="3" t="str">
        <f>VLOOKUP(O677,BulletType!A$1:F$35,2)&amp;VLOOKUP(P677,BulletColor!A$1:C$25,3)</f>
        <v>深绿</v>
      </c>
      <c r="C677" s="3" t="str">
        <f>CONCATENATE("Bullet",INT(A677/10)*10)</f>
        <v>Bullet128090</v>
      </c>
      <c r="D677">
        <f>VLOOKUP(O677,BulletType!A$2:N725,9)</f>
        <v>0</v>
      </c>
      <c r="E677">
        <f>VLOOKUP(O677,BulletType!A$2:N725,10)</f>
        <v>0</v>
      </c>
      <c r="F677" s="3" t="str">
        <f>CONCATENATE(VLOOKUP(O677,BulletType!A$2:I$35,8),VLOOKUP(P677,BulletColor!A$2:D$16,4))</f>
        <v>090</v>
      </c>
      <c r="G677" s="3">
        <f>VLOOKUP(O677,BulletType!A$1:G$35,7)</f>
        <v>0</v>
      </c>
      <c r="H677" s="2">
        <f>INT(Q677)</f>
        <v>1</v>
      </c>
      <c r="I677">
        <f>VLOOKUP(O677,BulletType!A$1:F$35,3)</f>
        <v>0</v>
      </c>
      <c r="J677">
        <f>VLOOKUP(O677,BulletType!A$1:F$35,4)</f>
        <v>0</v>
      </c>
      <c r="K677">
        <f>VLOOKUP(O677,BulletType!A$1:F$35,5)</f>
        <v>0</v>
      </c>
      <c r="L677">
        <f>VLOOKUP(O677,BulletType!A$1:F$35,5)</f>
        <v>0</v>
      </c>
      <c r="M677">
        <f>VLOOKUP(O677,BulletType!A$1:F$35,6)</f>
        <v>0</v>
      </c>
      <c r="N677" s="3" t="str">
        <f>VLOOKUP(P677,BulletColor!A$2:B700,2)</f>
        <v>0.36,0.78,1</v>
      </c>
      <c r="O677" s="2">
        <v>28</v>
      </c>
      <c r="P677" s="2">
        <v>9</v>
      </c>
      <c r="Q677" s="2">
        <f>MOD((ROW()-2),2)</f>
        <v>1</v>
      </c>
    </row>
    <row r="678" spans="1:17" x14ac:dyDescent="0.2">
      <c r="A678" s="1">
        <f t="shared" si="42"/>
        <v>128100</v>
      </c>
      <c r="B678" s="3" t="str">
        <f>VLOOKUP(O678,BulletType!A$1:F$35,2)&amp;VLOOKUP(P678,BulletColor!A$1:C$25,3)</f>
        <v>绿</v>
      </c>
      <c r="C678" s="3" t="str">
        <f>CONCATENATE("Bullet",INT(A678/10)*10)</f>
        <v>Bullet128100</v>
      </c>
      <c r="D678">
        <f>VLOOKUP(O678,BulletType!A$2:N726,9)</f>
        <v>0</v>
      </c>
      <c r="E678">
        <f>VLOOKUP(O678,BulletType!A$2:N726,10)</f>
        <v>0</v>
      </c>
      <c r="F678" s="3" t="str">
        <f>CONCATENATE(VLOOKUP(O678,BulletType!A$2:I$35,8),VLOOKUP(P678,BulletColor!A$2:D$16,4))</f>
        <v>090</v>
      </c>
      <c r="G678" s="3">
        <f>VLOOKUP(O678,BulletType!A$1:G$35,7)</f>
        <v>0</v>
      </c>
      <c r="H678" s="2">
        <f>INT(Q678)</f>
        <v>0</v>
      </c>
      <c r="I678">
        <f>VLOOKUP(O678,BulletType!A$1:F$35,3)</f>
        <v>0</v>
      </c>
      <c r="J678">
        <f>VLOOKUP(O678,BulletType!A$1:F$35,4)</f>
        <v>0</v>
      </c>
      <c r="K678">
        <f>VLOOKUP(O678,BulletType!A$1:F$35,5)</f>
        <v>0</v>
      </c>
      <c r="L678">
        <f>VLOOKUP(O678,BulletType!A$1:F$35,5)</f>
        <v>0</v>
      </c>
      <c r="M678">
        <f>VLOOKUP(O678,BulletType!A$1:F$35,6)</f>
        <v>0</v>
      </c>
      <c r="N678" s="3" t="str">
        <f>VLOOKUP(P678,BulletColor!A$2:B701,2)</f>
        <v>0.36,0.78,1</v>
      </c>
      <c r="O678" s="2">
        <v>28</v>
      </c>
      <c r="P678" s="2">
        <v>10</v>
      </c>
      <c r="Q678" s="2">
        <f>MOD((ROW()-2),2)</f>
        <v>0</v>
      </c>
    </row>
    <row r="679" spans="1:17" x14ac:dyDescent="0.2">
      <c r="A679" s="1">
        <f t="shared" si="42"/>
        <v>128101</v>
      </c>
      <c r="B679" s="3" t="str">
        <f>VLOOKUP(O679,BulletType!A$1:F$35,2)&amp;VLOOKUP(P679,BulletColor!A$1:C$25,3)</f>
        <v>绿</v>
      </c>
      <c r="C679" s="3" t="str">
        <f>CONCATENATE("Bullet",INT(A679/10)*10)</f>
        <v>Bullet128100</v>
      </c>
      <c r="D679">
        <f>VLOOKUP(O679,BulletType!A$2:N727,9)</f>
        <v>0</v>
      </c>
      <c r="E679">
        <f>VLOOKUP(O679,BulletType!A$2:N727,10)</f>
        <v>0</v>
      </c>
      <c r="F679" s="3" t="str">
        <f>CONCATENATE(VLOOKUP(O679,BulletType!A$2:I$35,8),VLOOKUP(P679,BulletColor!A$2:D$16,4))</f>
        <v>090</v>
      </c>
      <c r="G679" s="3">
        <f>VLOOKUP(O679,BulletType!A$1:G$35,7)</f>
        <v>0</v>
      </c>
      <c r="H679" s="2">
        <f>INT(Q679)</f>
        <v>1</v>
      </c>
      <c r="I679">
        <f>VLOOKUP(O679,BulletType!A$1:F$35,3)</f>
        <v>0</v>
      </c>
      <c r="J679">
        <f>VLOOKUP(O679,BulletType!A$1:F$35,4)</f>
        <v>0</v>
      </c>
      <c r="K679">
        <f>VLOOKUP(O679,BulletType!A$1:F$35,5)</f>
        <v>0</v>
      </c>
      <c r="L679">
        <f>VLOOKUP(O679,BulletType!A$1:F$35,5)</f>
        <v>0</v>
      </c>
      <c r="M679">
        <f>VLOOKUP(O679,BulletType!A$1:F$35,6)</f>
        <v>0</v>
      </c>
      <c r="N679" s="3" t="str">
        <f>VLOOKUP(P679,BulletColor!A$2:B702,2)</f>
        <v>0.36,0.78,1</v>
      </c>
      <c r="O679" s="2">
        <v>28</v>
      </c>
      <c r="P679" s="2">
        <v>10</v>
      </c>
      <c r="Q679" s="2">
        <f>MOD((ROW()-2),2)</f>
        <v>1</v>
      </c>
    </row>
    <row r="680" spans="1:17" x14ac:dyDescent="0.2">
      <c r="A680" s="1">
        <f t="shared" si="42"/>
        <v>128110</v>
      </c>
      <c r="B680" s="3" t="str">
        <f>VLOOKUP(O680,BulletType!A$1:F$35,2)&amp;VLOOKUP(P680,BulletColor!A$1:C$25,3)</f>
        <v>黄绿</v>
      </c>
      <c r="C680" s="3" t="str">
        <f>CONCATENATE("Bullet",INT(A680/10)*10)</f>
        <v>Bullet128110</v>
      </c>
      <c r="D680">
        <f>VLOOKUP(O680,BulletType!A$2:N728,9)</f>
        <v>0</v>
      </c>
      <c r="E680">
        <f>VLOOKUP(O680,BulletType!A$2:N728,10)</f>
        <v>0</v>
      </c>
      <c r="F680" s="3" t="str">
        <f>CONCATENATE(VLOOKUP(O680,BulletType!A$2:I$35,8),VLOOKUP(P680,BulletColor!A$2:D$16,4))</f>
        <v>090</v>
      </c>
      <c r="G680" s="3">
        <f>VLOOKUP(O680,BulletType!A$1:G$35,7)</f>
        <v>0</v>
      </c>
      <c r="H680" s="2">
        <f>INT(Q680)</f>
        <v>0</v>
      </c>
      <c r="I680">
        <f>VLOOKUP(O680,BulletType!A$1:F$35,3)</f>
        <v>0</v>
      </c>
      <c r="J680">
        <f>VLOOKUP(O680,BulletType!A$1:F$35,4)</f>
        <v>0</v>
      </c>
      <c r="K680">
        <f>VLOOKUP(O680,BulletType!A$1:F$35,5)</f>
        <v>0</v>
      </c>
      <c r="L680">
        <f>VLOOKUP(O680,BulletType!A$1:F$35,5)</f>
        <v>0</v>
      </c>
      <c r="M680">
        <f>VLOOKUP(O680,BulletType!A$1:F$35,6)</f>
        <v>0</v>
      </c>
      <c r="N680" s="3" t="str">
        <f>VLOOKUP(P680,BulletColor!A$2:B703,2)</f>
        <v>0.9,1,0.4</v>
      </c>
      <c r="O680" s="2">
        <v>28</v>
      </c>
      <c r="P680" s="2">
        <v>11</v>
      </c>
      <c r="Q680" s="2">
        <f>MOD((ROW()-2),2)</f>
        <v>0</v>
      </c>
    </row>
    <row r="681" spans="1:17" x14ac:dyDescent="0.2">
      <c r="A681" s="1">
        <f t="shared" si="42"/>
        <v>128111</v>
      </c>
      <c r="B681" s="3" t="str">
        <f>VLOOKUP(O681,BulletType!A$1:F$35,2)&amp;VLOOKUP(P681,BulletColor!A$1:C$25,3)</f>
        <v>黄绿</v>
      </c>
      <c r="C681" s="3" t="str">
        <f>CONCATENATE("Bullet",INT(A681/10)*10)</f>
        <v>Bullet128110</v>
      </c>
      <c r="D681">
        <f>VLOOKUP(O681,BulletType!A$2:N729,9)</f>
        <v>0</v>
      </c>
      <c r="E681">
        <f>VLOOKUP(O681,BulletType!A$2:N729,10)</f>
        <v>0</v>
      </c>
      <c r="F681" s="3" t="str">
        <f>CONCATENATE(VLOOKUP(O681,BulletType!A$2:I$35,8),VLOOKUP(P681,BulletColor!A$2:D$16,4))</f>
        <v>090</v>
      </c>
      <c r="G681" s="3">
        <f>VLOOKUP(O681,BulletType!A$1:G$35,7)</f>
        <v>0</v>
      </c>
      <c r="H681" s="2">
        <f>INT(Q681)</f>
        <v>1</v>
      </c>
      <c r="I681">
        <f>VLOOKUP(O681,BulletType!A$1:F$35,3)</f>
        <v>0</v>
      </c>
      <c r="J681">
        <f>VLOOKUP(O681,BulletType!A$1:F$35,4)</f>
        <v>0</v>
      </c>
      <c r="K681">
        <f>VLOOKUP(O681,BulletType!A$1:F$35,5)</f>
        <v>0</v>
      </c>
      <c r="L681">
        <f>VLOOKUP(O681,BulletType!A$1:F$35,5)</f>
        <v>0</v>
      </c>
      <c r="M681">
        <f>VLOOKUP(O681,BulletType!A$1:F$35,6)</f>
        <v>0</v>
      </c>
      <c r="N681" s="3" t="str">
        <f>VLOOKUP(P681,BulletColor!A$2:B704,2)</f>
        <v>0.9,1,0.4</v>
      </c>
      <c r="O681" s="2">
        <v>28</v>
      </c>
      <c r="P681" s="2">
        <v>11</v>
      </c>
      <c r="Q681" s="2">
        <f>MOD((ROW()-2),2)</f>
        <v>1</v>
      </c>
    </row>
    <row r="682" spans="1:17" x14ac:dyDescent="0.2">
      <c r="A682" s="1">
        <f t="shared" si="42"/>
        <v>128120</v>
      </c>
      <c r="B682" s="3" t="str">
        <f>VLOOKUP(O682,BulletType!A$1:F$35,2)&amp;VLOOKUP(P682,BulletColor!A$1:C$25,3)</f>
        <v>深黄</v>
      </c>
      <c r="C682" s="3" t="str">
        <f>CONCATENATE("Bullet",INT(A682/10)*10)</f>
        <v>Bullet128120</v>
      </c>
      <c r="D682">
        <f>VLOOKUP(O682,BulletType!A$2:N730,9)</f>
        <v>0</v>
      </c>
      <c r="E682">
        <f>VLOOKUP(O682,BulletType!A$2:N730,10)</f>
        <v>0</v>
      </c>
      <c r="F682" s="3" t="str">
        <f>CONCATENATE(VLOOKUP(O682,BulletType!A$2:I$35,8),VLOOKUP(P682,BulletColor!A$2:D$16,4))</f>
        <v>090</v>
      </c>
      <c r="G682" s="3">
        <f>VLOOKUP(O682,BulletType!A$1:G$35,7)</f>
        <v>0</v>
      </c>
      <c r="H682" s="2">
        <f>INT(Q682)</f>
        <v>0</v>
      </c>
      <c r="I682">
        <f>VLOOKUP(O682,BulletType!A$1:F$35,3)</f>
        <v>0</v>
      </c>
      <c r="J682">
        <f>VLOOKUP(O682,BulletType!A$1:F$35,4)</f>
        <v>0</v>
      </c>
      <c r="K682">
        <f>VLOOKUP(O682,BulletType!A$1:F$35,5)</f>
        <v>0</v>
      </c>
      <c r="L682">
        <f>VLOOKUP(O682,BulletType!A$1:F$35,5)</f>
        <v>0</v>
      </c>
      <c r="M682">
        <f>VLOOKUP(O682,BulletType!A$1:F$35,6)</f>
        <v>0</v>
      </c>
      <c r="N682" s="3" t="str">
        <f>VLOOKUP(P682,BulletColor!A$2:B705,2)</f>
        <v>0.9,1,0.4</v>
      </c>
      <c r="O682" s="2">
        <v>28</v>
      </c>
      <c r="P682" s="2">
        <v>12</v>
      </c>
      <c r="Q682" s="2">
        <f>MOD((ROW()-2),2)</f>
        <v>0</v>
      </c>
    </row>
    <row r="683" spans="1:17" x14ac:dyDescent="0.2">
      <c r="A683" s="1">
        <f t="shared" si="42"/>
        <v>128121</v>
      </c>
      <c r="B683" s="3" t="str">
        <f>VLOOKUP(O683,BulletType!A$1:F$35,2)&amp;VLOOKUP(P683,BulletColor!A$1:C$25,3)</f>
        <v>深黄</v>
      </c>
      <c r="C683" s="3" t="str">
        <f>CONCATENATE("Bullet",INT(A683/10)*10)</f>
        <v>Bullet128120</v>
      </c>
      <c r="D683">
        <f>VLOOKUP(O683,BulletType!A$2:N731,9)</f>
        <v>0</v>
      </c>
      <c r="E683">
        <f>VLOOKUP(O683,BulletType!A$2:N731,10)</f>
        <v>0</v>
      </c>
      <c r="F683" s="3" t="str">
        <f>CONCATENATE(VLOOKUP(O683,BulletType!A$2:I$35,8),VLOOKUP(P683,BulletColor!A$2:D$16,4))</f>
        <v>090</v>
      </c>
      <c r="G683" s="3">
        <f>VLOOKUP(O683,BulletType!A$1:G$35,7)</f>
        <v>0</v>
      </c>
      <c r="H683" s="2">
        <f>INT(Q683)</f>
        <v>1</v>
      </c>
      <c r="I683">
        <f>VLOOKUP(O683,BulletType!A$1:F$35,3)</f>
        <v>0</v>
      </c>
      <c r="J683">
        <f>VLOOKUP(O683,BulletType!A$1:F$35,4)</f>
        <v>0</v>
      </c>
      <c r="K683">
        <f>VLOOKUP(O683,BulletType!A$1:F$35,5)</f>
        <v>0</v>
      </c>
      <c r="L683">
        <f>VLOOKUP(O683,BulletType!A$1:F$35,5)</f>
        <v>0</v>
      </c>
      <c r="M683">
        <f>VLOOKUP(O683,BulletType!A$1:F$35,6)</f>
        <v>0</v>
      </c>
      <c r="N683" s="3" t="str">
        <f>VLOOKUP(P683,BulletColor!A$2:B706,2)</f>
        <v>0.9,1,0.4</v>
      </c>
      <c r="O683" s="2">
        <v>28</v>
      </c>
      <c r="P683" s="2">
        <v>12</v>
      </c>
      <c r="Q683" s="2">
        <f>MOD((ROW()-2),2)</f>
        <v>1</v>
      </c>
    </row>
    <row r="684" spans="1:17" x14ac:dyDescent="0.2">
      <c r="A684" s="1">
        <f t="shared" si="42"/>
        <v>128130</v>
      </c>
      <c r="B684" s="3" t="str">
        <f>VLOOKUP(O684,BulletType!A$1:F$35,2)&amp;VLOOKUP(P684,BulletColor!A$1:C$25,3)</f>
        <v>浅黄</v>
      </c>
      <c r="C684" s="3" t="str">
        <f>CONCATENATE("Bullet",INT(A684/10)*10)</f>
        <v>Bullet128130</v>
      </c>
      <c r="D684">
        <f>VLOOKUP(O684,BulletType!A$2:N732,9)</f>
        <v>0</v>
      </c>
      <c r="E684">
        <f>VLOOKUP(O684,BulletType!A$2:N732,10)</f>
        <v>0</v>
      </c>
      <c r="F684" s="3" t="str">
        <f>CONCATENATE(VLOOKUP(O684,BulletType!A$2:I$35,8),VLOOKUP(P684,BulletColor!A$2:D$16,4))</f>
        <v>130</v>
      </c>
      <c r="G684" s="3">
        <f>VLOOKUP(O684,BulletType!A$1:G$35,7)</f>
        <v>0</v>
      </c>
      <c r="H684" s="2">
        <f>INT(Q684)</f>
        <v>0</v>
      </c>
      <c r="I684">
        <f>VLOOKUP(O684,BulletType!A$1:F$35,3)</f>
        <v>0</v>
      </c>
      <c r="J684">
        <f>VLOOKUP(O684,BulletType!A$1:F$35,4)</f>
        <v>0</v>
      </c>
      <c r="K684">
        <f>VLOOKUP(O684,BulletType!A$1:F$35,5)</f>
        <v>0</v>
      </c>
      <c r="L684">
        <f>VLOOKUP(O684,BulletType!A$1:F$35,5)</f>
        <v>0</v>
      </c>
      <c r="M684">
        <f>VLOOKUP(O684,BulletType!A$1:F$35,6)</f>
        <v>0</v>
      </c>
      <c r="N684" s="3" t="str">
        <f>VLOOKUP(P684,BulletColor!A$2:B707,2)</f>
        <v>0.9,1,0.4</v>
      </c>
      <c r="O684" s="2">
        <v>28</v>
      </c>
      <c r="P684" s="2">
        <v>13</v>
      </c>
      <c r="Q684" s="2">
        <f>MOD((ROW()-2),2)</f>
        <v>0</v>
      </c>
    </row>
    <row r="685" spans="1:17" x14ac:dyDescent="0.2">
      <c r="A685" s="1">
        <f t="shared" si="42"/>
        <v>128131</v>
      </c>
      <c r="B685" s="3" t="str">
        <f>VLOOKUP(O685,BulletType!A$1:F$35,2)&amp;VLOOKUP(P685,BulletColor!A$1:C$25,3)</f>
        <v>浅黄</v>
      </c>
      <c r="C685" s="3" t="str">
        <f>CONCATENATE("Bullet",INT(A685/10)*10)</f>
        <v>Bullet128130</v>
      </c>
      <c r="D685">
        <f>VLOOKUP(O685,BulletType!A$2:N733,9)</f>
        <v>0</v>
      </c>
      <c r="E685">
        <f>VLOOKUP(O685,BulletType!A$2:N733,10)</f>
        <v>0</v>
      </c>
      <c r="F685" s="3" t="str">
        <f>CONCATENATE(VLOOKUP(O685,BulletType!A$2:I$35,8),VLOOKUP(P685,BulletColor!A$2:D$16,4))</f>
        <v>130</v>
      </c>
      <c r="G685" s="3">
        <f>VLOOKUP(O685,BulletType!A$1:G$35,7)</f>
        <v>0</v>
      </c>
      <c r="H685" s="2">
        <f>INT(Q685)</f>
        <v>1</v>
      </c>
      <c r="I685">
        <f>VLOOKUP(O685,BulletType!A$1:F$35,3)</f>
        <v>0</v>
      </c>
      <c r="J685">
        <f>VLOOKUP(O685,BulletType!A$1:F$35,4)</f>
        <v>0</v>
      </c>
      <c r="K685">
        <f>VLOOKUP(O685,BulletType!A$1:F$35,5)</f>
        <v>0</v>
      </c>
      <c r="L685">
        <f>VLOOKUP(O685,BulletType!A$1:F$35,5)</f>
        <v>0</v>
      </c>
      <c r="M685">
        <f>VLOOKUP(O685,BulletType!A$1:F$35,6)</f>
        <v>0</v>
      </c>
      <c r="N685" s="3" t="str">
        <f>VLOOKUP(P685,BulletColor!A$2:B708,2)</f>
        <v>0.9,1,0.4</v>
      </c>
      <c r="O685" s="2">
        <v>28</v>
      </c>
      <c r="P685" s="2">
        <v>13</v>
      </c>
      <c r="Q685" s="2">
        <f>MOD((ROW()-2),2)</f>
        <v>1</v>
      </c>
    </row>
    <row r="686" spans="1:17" x14ac:dyDescent="0.2">
      <c r="A686" s="1">
        <f t="shared" si="42"/>
        <v>128140</v>
      </c>
      <c r="B686" s="3" t="str">
        <f>VLOOKUP(O686,BulletType!A$1:F$35,2)&amp;VLOOKUP(P686,BulletColor!A$1:C$25,3)</f>
        <v>棕黄</v>
      </c>
      <c r="C686" s="3" t="str">
        <f>CONCATENATE("Bullet",INT(A686/10)*10)</f>
        <v>Bullet128140</v>
      </c>
      <c r="D686">
        <f>VLOOKUP(O686,BulletType!A$2:N734,9)</f>
        <v>0</v>
      </c>
      <c r="E686">
        <f>VLOOKUP(O686,BulletType!A$2:N734,10)</f>
        <v>0</v>
      </c>
      <c r="F686" s="3" t="str">
        <f>CONCATENATE(VLOOKUP(O686,BulletType!A$2:I$35,8),VLOOKUP(P686,BulletColor!A$2:D$16,4))</f>
        <v>130</v>
      </c>
      <c r="G686" s="3">
        <f>VLOOKUP(O686,BulletType!A$1:G$35,7)</f>
        <v>0</v>
      </c>
      <c r="H686" s="2">
        <f>INT(Q686)</f>
        <v>0</v>
      </c>
      <c r="I686">
        <f>VLOOKUP(O686,BulletType!A$1:F$35,3)</f>
        <v>0</v>
      </c>
      <c r="J686">
        <f>VLOOKUP(O686,BulletType!A$1:F$35,4)</f>
        <v>0</v>
      </c>
      <c r="K686">
        <f>VLOOKUP(O686,BulletType!A$1:F$35,5)</f>
        <v>0</v>
      </c>
      <c r="L686">
        <f>VLOOKUP(O686,BulletType!A$1:F$35,5)</f>
        <v>0</v>
      </c>
      <c r="M686">
        <f>VLOOKUP(O686,BulletType!A$1:F$35,6)</f>
        <v>0</v>
      </c>
      <c r="N686" s="3" t="str">
        <f>VLOOKUP(P686,BulletColor!A$2:B709,2)</f>
        <v>0.9,1,0.4</v>
      </c>
      <c r="O686" s="2">
        <v>28</v>
      </c>
      <c r="P686" s="2">
        <v>14</v>
      </c>
      <c r="Q686" s="2">
        <f>MOD((ROW()-2),2)</f>
        <v>0</v>
      </c>
    </row>
    <row r="687" spans="1:17" x14ac:dyDescent="0.2">
      <c r="A687" s="1">
        <f t="shared" si="42"/>
        <v>128141</v>
      </c>
      <c r="B687" s="3" t="str">
        <f>VLOOKUP(O687,BulletType!A$1:F$35,2)&amp;VLOOKUP(P687,BulletColor!A$1:C$25,3)</f>
        <v>棕黄</v>
      </c>
      <c r="C687" s="3" t="str">
        <f>CONCATENATE("Bullet",INT(A687/10)*10)</f>
        <v>Bullet128140</v>
      </c>
      <c r="D687">
        <f>VLOOKUP(O687,BulletType!A$2:N735,9)</f>
        <v>0</v>
      </c>
      <c r="E687">
        <f>VLOOKUP(O687,BulletType!A$2:N735,10)</f>
        <v>0</v>
      </c>
      <c r="F687" s="3" t="str">
        <f>CONCATENATE(VLOOKUP(O687,BulletType!A$2:I$35,8),VLOOKUP(P687,BulletColor!A$2:D$16,4))</f>
        <v>130</v>
      </c>
      <c r="G687" s="3">
        <f>VLOOKUP(O687,BulletType!A$1:G$35,7)</f>
        <v>0</v>
      </c>
      <c r="H687" s="2">
        <f>INT(Q687)</f>
        <v>1</v>
      </c>
      <c r="I687">
        <f>VLOOKUP(O687,BulletType!A$1:F$35,3)</f>
        <v>0</v>
      </c>
      <c r="J687">
        <f>VLOOKUP(O687,BulletType!A$1:F$35,4)</f>
        <v>0</v>
      </c>
      <c r="K687">
        <f>VLOOKUP(O687,BulletType!A$1:F$35,5)</f>
        <v>0</v>
      </c>
      <c r="L687">
        <f>VLOOKUP(O687,BulletType!A$1:F$35,5)</f>
        <v>0</v>
      </c>
      <c r="M687">
        <f>VLOOKUP(O687,BulletType!A$1:F$35,6)</f>
        <v>0</v>
      </c>
      <c r="N687" s="3" t="str">
        <f>VLOOKUP(P687,BulletColor!A$2:B710,2)</f>
        <v>0.9,1,0.4</v>
      </c>
      <c r="O687" s="2">
        <v>28</v>
      </c>
      <c r="P687" s="2">
        <v>14</v>
      </c>
      <c r="Q687" s="2">
        <f>MOD((ROW()-2),2)</f>
        <v>1</v>
      </c>
    </row>
    <row r="688" spans="1:17" x14ac:dyDescent="0.2">
      <c r="A688" s="1">
        <f t="shared" si="42"/>
        <v>128150</v>
      </c>
      <c r="B688" s="3" t="str">
        <f>VLOOKUP(O688,BulletType!A$1:F$35,2)&amp;VLOOKUP(P688,BulletColor!A$1:C$25,3)</f>
        <v>白</v>
      </c>
      <c r="C688" s="3" t="str">
        <f>CONCATENATE("Bullet",INT(A688/10)*10)</f>
        <v>Bullet128150</v>
      </c>
      <c r="D688">
        <f>VLOOKUP(O688,BulletType!A$2:N736,9)</f>
        <v>0</v>
      </c>
      <c r="E688">
        <f>VLOOKUP(O688,BulletType!A$2:N736,10)</f>
        <v>0</v>
      </c>
      <c r="F688" s="3" t="str">
        <f>CONCATENATE(VLOOKUP(O688,BulletType!A$2:I$35,8),VLOOKUP(P688,BulletColor!A$2:D$16,4))</f>
        <v>130</v>
      </c>
      <c r="G688" s="3">
        <f>VLOOKUP(O688,BulletType!A$1:G$35,7)</f>
        <v>0</v>
      </c>
      <c r="H688" s="2">
        <f>INT(Q688)</f>
        <v>0</v>
      </c>
      <c r="I688">
        <f>VLOOKUP(O688,BulletType!A$1:F$35,3)</f>
        <v>0</v>
      </c>
      <c r="J688">
        <f>VLOOKUP(O688,BulletType!A$1:F$35,4)</f>
        <v>0</v>
      </c>
      <c r="K688">
        <f>VLOOKUP(O688,BulletType!A$1:F$35,5)</f>
        <v>0</v>
      </c>
      <c r="L688">
        <f>VLOOKUP(O688,BulletType!A$1:F$35,5)</f>
        <v>0</v>
      </c>
      <c r="M688">
        <f>VLOOKUP(O688,BulletType!A$1:F$35,6)</f>
        <v>0</v>
      </c>
      <c r="N688" s="3" t="str">
        <f>VLOOKUP(P688,BulletColor!A$2:B711,2)</f>
        <v>0.8,0.8,0.8</v>
      </c>
      <c r="O688" s="2">
        <v>28</v>
      </c>
      <c r="P688" s="2">
        <v>15</v>
      </c>
      <c r="Q688" s="2">
        <f>MOD((ROW()-2),2)</f>
        <v>0</v>
      </c>
    </row>
    <row r="689" spans="1:17" x14ac:dyDescent="0.2">
      <c r="A689" s="1">
        <f t="shared" si="42"/>
        <v>128151</v>
      </c>
      <c r="B689" s="3" t="str">
        <f>VLOOKUP(O689,BulletType!A$1:F$35,2)&amp;VLOOKUP(P689,BulletColor!A$1:C$25,3)</f>
        <v>白</v>
      </c>
      <c r="C689" s="3" t="str">
        <f>CONCATENATE("Bullet",INT(A689/10)*10)</f>
        <v>Bullet128150</v>
      </c>
      <c r="D689">
        <f>VLOOKUP(O689,BulletType!A$2:N737,9)</f>
        <v>0</v>
      </c>
      <c r="E689">
        <f>VLOOKUP(O689,BulletType!A$2:N737,10)</f>
        <v>0</v>
      </c>
      <c r="F689" s="3" t="str">
        <f>CONCATENATE(VLOOKUP(O689,BulletType!A$2:I$35,8),VLOOKUP(P689,BulletColor!A$2:D$16,4))</f>
        <v>130</v>
      </c>
      <c r="G689" s="3">
        <f>VLOOKUP(O689,BulletType!A$1:G$35,7)</f>
        <v>0</v>
      </c>
      <c r="H689" s="2">
        <f>INT(Q689)</f>
        <v>1</v>
      </c>
      <c r="I689">
        <f>VLOOKUP(O689,BulletType!A$1:F$35,3)</f>
        <v>0</v>
      </c>
      <c r="J689">
        <f>VLOOKUP(O689,BulletType!A$1:F$35,4)</f>
        <v>0</v>
      </c>
      <c r="K689">
        <f>VLOOKUP(O689,BulletType!A$1:F$35,5)</f>
        <v>0</v>
      </c>
      <c r="L689">
        <f>VLOOKUP(O689,BulletType!A$1:F$35,5)</f>
        <v>0</v>
      </c>
      <c r="M689">
        <f>VLOOKUP(O689,BulletType!A$1:F$35,6)</f>
        <v>0</v>
      </c>
      <c r="N689" s="3" t="str">
        <f>VLOOKUP(P689,BulletColor!A$2:B712,2)</f>
        <v>0.8,0.8,0.8</v>
      </c>
      <c r="O689" s="2">
        <v>28</v>
      </c>
      <c r="P689" s="2">
        <v>15</v>
      </c>
      <c r="Q689" s="2">
        <f>MOD((ROW()-2),2)</f>
        <v>1</v>
      </c>
    </row>
    <row r="690" spans="1:17" x14ac:dyDescent="0.2">
      <c r="A690" s="1">
        <f t="shared" si="42"/>
        <v>129000</v>
      </c>
      <c r="B690" s="3" t="str">
        <f>VLOOKUP(O690,BulletType!A$1:F$35,2)&amp;VLOOKUP(P690,BulletColor!A$1:C$25,3)</f>
        <v>灰</v>
      </c>
      <c r="C690" s="3" t="str">
        <f>CONCATENATE("Bullet",INT(A690/10)*10)</f>
        <v>Bullet129000</v>
      </c>
      <c r="D690">
        <f>VLOOKUP(O690,BulletType!A$2:N738,9)</f>
        <v>0</v>
      </c>
      <c r="E690">
        <f>VLOOKUP(O690,BulletType!A$2:N738,10)</f>
        <v>0</v>
      </c>
      <c r="F690" s="3" t="str">
        <f>CONCATENATE(VLOOKUP(O690,BulletType!A$2:I$35,8),VLOOKUP(P690,BulletColor!A$2:D$16,4))</f>
        <v>000</v>
      </c>
      <c r="G690" s="3">
        <f>VLOOKUP(O690,BulletType!A$1:G$35,7)</f>
        <v>0</v>
      </c>
      <c r="H690" s="2">
        <f>INT(Q690)</f>
        <v>0</v>
      </c>
      <c r="I690">
        <f>VLOOKUP(O690,BulletType!A$1:F$35,3)</f>
        <v>0</v>
      </c>
      <c r="J690">
        <f>VLOOKUP(O690,BulletType!A$1:F$35,4)</f>
        <v>0</v>
      </c>
      <c r="K690">
        <f>VLOOKUP(O690,BulletType!A$1:F$35,5)</f>
        <v>0</v>
      </c>
      <c r="L690">
        <f>VLOOKUP(O690,BulletType!A$1:F$35,5)</f>
        <v>0</v>
      </c>
      <c r="M690">
        <f>VLOOKUP(O690,BulletType!A$1:F$35,6)</f>
        <v>0</v>
      </c>
      <c r="N690" s="3" t="str">
        <f>VLOOKUP(P690,BulletColor!A$2:B713,2)</f>
        <v>0.5,0.5,0.5</v>
      </c>
      <c r="O690" s="2">
        <v>29</v>
      </c>
      <c r="P690" s="2">
        <v>0</v>
      </c>
      <c r="Q690" s="2">
        <f>MOD((ROW()-2),2)</f>
        <v>0</v>
      </c>
    </row>
    <row r="691" spans="1:17" x14ac:dyDescent="0.2">
      <c r="A691" s="1">
        <f t="shared" si="42"/>
        <v>129001</v>
      </c>
      <c r="B691" s="3" t="str">
        <f>VLOOKUP(O691,BulletType!A$1:F$35,2)&amp;VLOOKUP(P691,BulletColor!A$1:C$25,3)</f>
        <v>灰</v>
      </c>
      <c r="C691" s="3" t="str">
        <f>CONCATENATE("Bullet",INT(A691/10)*10)</f>
        <v>Bullet129000</v>
      </c>
      <c r="D691">
        <f>VLOOKUP(O691,BulletType!A$2:N739,9)</f>
        <v>0</v>
      </c>
      <c r="E691">
        <f>VLOOKUP(O691,BulletType!A$2:N739,10)</f>
        <v>0</v>
      </c>
      <c r="F691" s="3" t="str">
        <f>CONCATENATE(VLOOKUP(O691,BulletType!A$2:I$35,8),VLOOKUP(P691,BulletColor!A$2:D$16,4))</f>
        <v>000</v>
      </c>
      <c r="G691" s="3">
        <f>VLOOKUP(O691,BulletType!A$1:G$35,7)</f>
        <v>0</v>
      </c>
      <c r="H691" s="2">
        <f>INT(Q691)</f>
        <v>1</v>
      </c>
      <c r="I691">
        <f>VLOOKUP(O691,BulletType!A$1:F$35,3)</f>
        <v>0</v>
      </c>
      <c r="J691">
        <f>VLOOKUP(O691,BulletType!A$1:F$35,4)</f>
        <v>0</v>
      </c>
      <c r="K691">
        <f>VLOOKUP(O691,BulletType!A$1:F$35,5)</f>
        <v>0</v>
      </c>
      <c r="L691">
        <f>VLOOKUP(O691,BulletType!A$1:F$35,5)</f>
        <v>0</v>
      </c>
      <c r="M691">
        <f>VLOOKUP(O691,BulletType!A$1:F$35,6)</f>
        <v>0</v>
      </c>
      <c r="N691" s="3" t="str">
        <f>VLOOKUP(P691,BulletColor!A$2:B714,2)</f>
        <v>0.5,0.5,0.5</v>
      </c>
      <c r="O691" s="2">
        <v>29</v>
      </c>
      <c r="P691" s="2">
        <v>0</v>
      </c>
      <c r="Q691" s="2">
        <f>MOD((ROW()-2),2)</f>
        <v>1</v>
      </c>
    </row>
    <row r="692" spans="1:17" x14ac:dyDescent="0.2">
      <c r="A692" s="1">
        <f t="shared" si="42"/>
        <v>129010</v>
      </c>
      <c r="B692" s="3" t="str">
        <f>VLOOKUP(O692,BulletType!A$1:F$35,2)&amp;VLOOKUP(P692,BulletColor!A$1:C$25,3)</f>
        <v>深红</v>
      </c>
      <c r="C692" s="3" t="str">
        <f>CONCATENATE("Bullet",INT(A692/10)*10)</f>
        <v>Bullet129010</v>
      </c>
      <c r="D692">
        <f>VLOOKUP(O692,BulletType!A$2:N740,9)</f>
        <v>0</v>
      </c>
      <c r="E692">
        <f>VLOOKUP(O692,BulletType!A$2:N740,10)</f>
        <v>0</v>
      </c>
      <c r="F692" s="3" t="str">
        <f>CONCATENATE(VLOOKUP(O692,BulletType!A$2:I$35,8),VLOOKUP(P692,BulletColor!A$2:D$16,4))</f>
        <v>010</v>
      </c>
      <c r="G692" s="3">
        <f>VLOOKUP(O692,BulletType!A$1:G$35,7)</f>
        <v>0</v>
      </c>
      <c r="H692" s="2">
        <f>INT(Q692)</f>
        <v>0</v>
      </c>
      <c r="I692">
        <f>VLOOKUP(O692,BulletType!A$1:F$35,3)</f>
        <v>0</v>
      </c>
      <c r="J692">
        <f>VLOOKUP(O692,BulletType!A$1:F$35,4)</f>
        <v>0</v>
      </c>
      <c r="K692">
        <f>VLOOKUP(O692,BulletType!A$1:F$35,5)</f>
        <v>0</v>
      </c>
      <c r="L692">
        <f>VLOOKUP(O692,BulletType!A$1:F$35,5)</f>
        <v>0</v>
      </c>
      <c r="M692">
        <f>VLOOKUP(O692,BulletType!A$1:F$35,6)</f>
        <v>0</v>
      </c>
      <c r="N692" s="3" t="str">
        <f>VLOOKUP(P692,BulletColor!A$2:B715,2)</f>
        <v>0.625,0.3,0.3</v>
      </c>
      <c r="O692" s="2">
        <v>29</v>
      </c>
      <c r="P692" s="2">
        <v>1</v>
      </c>
      <c r="Q692" s="2">
        <f>MOD((ROW()-2),2)</f>
        <v>0</v>
      </c>
    </row>
    <row r="693" spans="1:17" x14ac:dyDescent="0.2">
      <c r="A693" s="1">
        <f t="shared" si="42"/>
        <v>129011</v>
      </c>
      <c r="B693" s="3" t="str">
        <f>VLOOKUP(O693,BulletType!A$1:F$35,2)&amp;VLOOKUP(P693,BulletColor!A$1:C$25,3)</f>
        <v>深红</v>
      </c>
      <c r="C693" s="3" t="str">
        <f>CONCATENATE("Bullet",INT(A693/10)*10)</f>
        <v>Bullet129010</v>
      </c>
      <c r="D693">
        <f>VLOOKUP(O693,BulletType!A$2:N741,9)</f>
        <v>0</v>
      </c>
      <c r="E693">
        <f>VLOOKUP(O693,BulletType!A$2:N741,10)</f>
        <v>0</v>
      </c>
      <c r="F693" s="3" t="str">
        <f>CONCATENATE(VLOOKUP(O693,BulletType!A$2:I$35,8),VLOOKUP(P693,BulletColor!A$2:D$16,4))</f>
        <v>010</v>
      </c>
      <c r="G693" s="3">
        <f>VLOOKUP(O693,BulletType!A$1:G$35,7)</f>
        <v>0</v>
      </c>
      <c r="H693" s="2">
        <f>INT(Q693)</f>
        <v>1</v>
      </c>
      <c r="I693">
        <f>VLOOKUP(O693,BulletType!A$1:F$35,3)</f>
        <v>0</v>
      </c>
      <c r="J693">
        <f>VLOOKUP(O693,BulletType!A$1:F$35,4)</f>
        <v>0</v>
      </c>
      <c r="K693">
        <f>VLOOKUP(O693,BulletType!A$1:F$35,5)</f>
        <v>0</v>
      </c>
      <c r="L693">
        <f>VLOOKUP(O693,BulletType!A$1:F$35,5)</f>
        <v>0</v>
      </c>
      <c r="M693">
        <f>VLOOKUP(O693,BulletType!A$1:F$35,6)</f>
        <v>0</v>
      </c>
      <c r="N693" s="3" t="str">
        <f>VLOOKUP(P693,BulletColor!A$2:B716,2)</f>
        <v>0.625,0.3,0.3</v>
      </c>
      <c r="O693" s="2">
        <v>29</v>
      </c>
      <c r="P693" s="2">
        <v>1</v>
      </c>
      <c r="Q693" s="2">
        <f>MOD((ROW()-2),2)</f>
        <v>1</v>
      </c>
    </row>
    <row r="694" spans="1:17" x14ac:dyDescent="0.2">
      <c r="A694" s="1">
        <f t="shared" si="42"/>
        <v>129020</v>
      </c>
      <c r="B694" s="3" t="str">
        <f>VLOOKUP(O694,BulletType!A$1:F$35,2)&amp;VLOOKUP(P694,BulletColor!A$1:C$25,3)</f>
        <v>红</v>
      </c>
      <c r="C694" s="3" t="str">
        <f>CONCATENATE("Bullet",INT(A694/10)*10)</f>
        <v>Bullet129020</v>
      </c>
      <c r="D694">
        <f>VLOOKUP(O694,BulletType!A$2:N742,9)</f>
        <v>0</v>
      </c>
      <c r="E694">
        <f>VLOOKUP(O694,BulletType!A$2:N742,10)</f>
        <v>0</v>
      </c>
      <c r="F694" s="3" t="str">
        <f>CONCATENATE(VLOOKUP(O694,BulletType!A$2:I$35,8),VLOOKUP(P694,BulletColor!A$2:D$16,4))</f>
        <v>010</v>
      </c>
      <c r="G694" s="3">
        <f>VLOOKUP(O694,BulletType!A$1:G$35,7)</f>
        <v>0</v>
      </c>
      <c r="H694" s="2">
        <f>INT(Q694)</f>
        <v>0</v>
      </c>
      <c r="I694">
        <f>VLOOKUP(O694,BulletType!A$1:F$35,3)</f>
        <v>0</v>
      </c>
      <c r="J694">
        <f>VLOOKUP(O694,BulletType!A$1:F$35,4)</f>
        <v>0</v>
      </c>
      <c r="K694">
        <f>VLOOKUP(O694,BulletType!A$1:F$35,5)</f>
        <v>0</v>
      </c>
      <c r="L694">
        <f>VLOOKUP(O694,BulletType!A$1:F$35,5)</f>
        <v>0</v>
      </c>
      <c r="M694">
        <f>VLOOKUP(O694,BulletType!A$1:F$35,6)</f>
        <v>0</v>
      </c>
      <c r="N694" s="3" t="str">
        <f>VLOOKUP(P694,BulletColor!A$2:B717,2)</f>
        <v>0.8,0.3,0.3</v>
      </c>
      <c r="O694" s="2">
        <v>29</v>
      </c>
      <c r="P694" s="2">
        <v>2</v>
      </c>
      <c r="Q694" s="2">
        <f>MOD((ROW()-2),2)</f>
        <v>0</v>
      </c>
    </row>
    <row r="695" spans="1:17" x14ac:dyDescent="0.2">
      <c r="A695" s="1">
        <f t="shared" si="42"/>
        <v>129021</v>
      </c>
      <c r="B695" s="3" t="str">
        <f>VLOOKUP(O695,BulletType!A$1:F$35,2)&amp;VLOOKUP(P695,BulletColor!A$1:C$25,3)</f>
        <v>红</v>
      </c>
      <c r="C695" s="3" t="str">
        <f>CONCATENATE("Bullet",INT(A695/10)*10)</f>
        <v>Bullet129020</v>
      </c>
      <c r="D695">
        <f>VLOOKUP(O695,BulletType!A$2:N743,9)</f>
        <v>0</v>
      </c>
      <c r="E695">
        <f>VLOOKUP(O695,BulletType!A$2:N743,10)</f>
        <v>0</v>
      </c>
      <c r="F695" s="3" t="str">
        <f>CONCATENATE(VLOOKUP(O695,BulletType!A$2:I$35,8),VLOOKUP(P695,BulletColor!A$2:D$16,4))</f>
        <v>010</v>
      </c>
      <c r="G695" s="3">
        <f>VLOOKUP(O695,BulletType!A$1:G$35,7)</f>
        <v>0</v>
      </c>
      <c r="H695" s="2">
        <f>INT(Q695)</f>
        <v>1</v>
      </c>
      <c r="I695">
        <f>VLOOKUP(O695,BulletType!A$1:F$35,3)</f>
        <v>0</v>
      </c>
      <c r="J695">
        <f>VLOOKUP(O695,BulletType!A$1:F$35,4)</f>
        <v>0</v>
      </c>
      <c r="K695">
        <f>VLOOKUP(O695,BulletType!A$1:F$35,5)</f>
        <v>0</v>
      </c>
      <c r="L695">
        <f>VLOOKUP(O695,BulletType!A$1:F$35,5)</f>
        <v>0</v>
      </c>
      <c r="M695">
        <f>VLOOKUP(O695,BulletType!A$1:F$35,6)</f>
        <v>0</v>
      </c>
      <c r="N695" s="3" t="str">
        <f>VLOOKUP(P695,BulletColor!A$2:B718,2)</f>
        <v>0.8,0.3,0.3</v>
      </c>
      <c r="O695" s="2">
        <v>29</v>
      </c>
      <c r="P695" s="2">
        <v>2</v>
      </c>
      <c r="Q695" s="2">
        <f>MOD((ROW()-2),2)</f>
        <v>1</v>
      </c>
    </row>
    <row r="696" spans="1:17" x14ac:dyDescent="0.2">
      <c r="A696" s="1">
        <f t="shared" si="42"/>
        <v>129030</v>
      </c>
      <c r="B696" s="3" t="str">
        <f>VLOOKUP(O696,BulletType!A$1:F$35,2)&amp;VLOOKUP(P696,BulletColor!A$1:C$25,3)</f>
        <v>深紫</v>
      </c>
      <c r="C696" s="3" t="str">
        <f>CONCATENATE("Bullet",INT(A696/10)*10)</f>
        <v>Bullet129030</v>
      </c>
      <c r="D696">
        <f>VLOOKUP(O696,BulletType!A$2:N744,9)</f>
        <v>0</v>
      </c>
      <c r="E696">
        <f>VLOOKUP(O696,BulletType!A$2:N744,10)</f>
        <v>0</v>
      </c>
      <c r="F696" s="3" t="str">
        <f>CONCATENATE(VLOOKUP(O696,BulletType!A$2:I$35,8),VLOOKUP(P696,BulletColor!A$2:D$16,4))</f>
        <v>030</v>
      </c>
      <c r="G696" s="3">
        <f>VLOOKUP(O696,BulletType!A$1:G$35,7)</f>
        <v>0</v>
      </c>
      <c r="H696" s="2">
        <f>INT(Q696)</f>
        <v>0</v>
      </c>
      <c r="I696">
        <f>VLOOKUP(O696,BulletType!A$1:F$35,3)</f>
        <v>0</v>
      </c>
      <c r="J696">
        <f>VLOOKUP(O696,BulletType!A$1:F$35,4)</f>
        <v>0</v>
      </c>
      <c r="K696">
        <f>VLOOKUP(O696,BulletType!A$1:F$35,5)</f>
        <v>0</v>
      </c>
      <c r="L696">
        <f>VLOOKUP(O696,BulletType!A$1:F$35,5)</f>
        <v>0</v>
      </c>
      <c r="M696">
        <f>VLOOKUP(O696,BulletType!A$1:F$35,6)</f>
        <v>0</v>
      </c>
      <c r="N696" s="3" t="str">
        <f>VLOOKUP(P696,BulletColor!A$2:B719,2)</f>
        <v>1,0.65,1</v>
      </c>
      <c r="O696" s="2">
        <v>29</v>
      </c>
      <c r="P696" s="2">
        <v>3</v>
      </c>
      <c r="Q696" s="2">
        <f>MOD((ROW()-2),2)</f>
        <v>0</v>
      </c>
    </row>
    <row r="697" spans="1:17" x14ac:dyDescent="0.2">
      <c r="A697" s="1">
        <f t="shared" si="42"/>
        <v>129031</v>
      </c>
      <c r="B697" s="3" t="str">
        <f>VLOOKUP(O697,BulletType!A$1:F$35,2)&amp;VLOOKUP(P697,BulletColor!A$1:C$25,3)</f>
        <v>深紫</v>
      </c>
      <c r="C697" s="3" t="str">
        <f>CONCATENATE("Bullet",INT(A697/10)*10)</f>
        <v>Bullet129030</v>
      </c>
      <c r="D697">
        <f>VLOOKUP(O697,BulletType!A$2:N745,9)</f>
        <v>0</v>
      </c>
      <c r="E697">
        <f>VLOOKUP(O697,BulletType!A$2:N745,10)</f>
        <v>0</v>
      </c>
      <c r="F697" s="3" t="str">
        <f>CONCATENATE(VLOOKUP(O697,BulletType!A$2:I$35,8),VLOOKUP(P697,BulletColor!A$2:D$16,4))</f>
        <v>030</v>
      </c>
      <c r="G697" s="3">
        <f>VLOOKUP(O697,BulletType!A$1:G$35,7)</f>
        <v>0</v>
      </c>
      <c r="H697" s="2">
        <f>INT(Q697)</f>
        <v>1</v>
      </c>
      <c r="I697">
        <f>VLOOKUP(O697,BulletType!A$1:F$35,3)</f>
        <v>0</v>
      </c>
      <c r="J697">
        <f>VLOOKUP(O697,BulletType!A$1:F$35,4)</f>
        <v>0</v>
      </c>
      <c r="K697">
        <f>VLOOKUP(O697,BulletType!A$1:F$35,5)</f>
        <v>0</v>
      </c>
      <c r="L697">
        <f>VLOOKUP(O697,BulletType!A$1:F$35,5)</f>
        <v>0</v>
      </c>
      <c r="M697">
        <f>VLOOKUP(O697,BulletType!A$1:F$35,6)</f>
        <v>0</v>
      </c>
      <c r="N697" s="3" t="str">
        <f>VLOOKUP(P697,BulletColor!A$2:B720,2)</f>
        <v>1,0.65,1</v>
      </c>
      <c r="O697" s="2">
        <v>29</v>
      </c>
      <c r="P697" s="2">
        <v>3</v>
      </c>
      <c r="Q697" s="2">
        <f>MOD((ROW()-2),2)</f>
        <v>1</v>
      </c>
    </row>
    <row r="698" spans="1:17" x14ac:dyDescent="0.2">
      <c r="A698" s="1">
        <f t="shared" si="42"/>
        <v>129040</v>
      </c>
      <c r="B698" s="3" t="str">
        <f>VLOOKUP(O698,BulletType!A$1:F$35,2)&amp;VLOOKUP(P698,BulletColor!A$1:C$25,3)</f>
        <v>紫</v>
      </c>
      <c r="C698" s="3" t="str">
        <f>CONCATENATE("Bullet",INT(A698/10)*10)</f>
        <v>Bullet129040</v>
      </c>
      <c r="D698">
        <f>VLOOKUP(O698,BulletType!A$2:N746,9)</f>
        <v>0</v>
      </c>
      <c r="E698">
        <f>VLOOKUP(O698,BulletType!A$2:N746,10)</f>
        <v>0</v>
      </c>
      <c r="F698" s="3" t="str">
        <f>CONCATENATE(VLOOKUP(O698,BulletType!A$2:I$35,8),VLOOKUP(P698,BulletColor!A$2:D$16,4))</f>
        <v>030</v>
      </c>
      <c r="G698" s="3">
        <f>VLOOKUP(O698,BulletType!A$1:G$35,7)</f>
        <v>0</v>
      </c>
      <c r="H698" s="2">
        <f>INT(Q698)</f>
        <v>0</v>
      </c>
      <c r="I698">
        <f>VLOOKUP(O698,BulletType!A$1:F$35,3)</f>
        <v>0</v>
      </c>
      <c r="J698">
        <f>VLOOKUP(O698,BulletType!A$1:F$35,4)</f>
        <v>0</v>
      </c>
      <c r="K698">
        <f>VLOOKUP(O698,BulletType!A$1:F$35,5)</f>
        <v>0</v>
      </c>
      <c r="L698">
        <f>VLOOKUP(O698,BulletType!A$1:F$35,5)</f>
        <v>0</v>
      </c>
      <c r="M698">
        <f>VLOOKUP(O698,BulletType!A$1:F$35,6)</f>
        <v>0</v>
      </c>
      <c r="N698" s="3" t="str">
        <f>VLOOKUP(P698,BulletColor!A$2:B721,2)</f>
        <v>1,0.65,1</v>
      </c>
      <c r="O698" s="2">
        <v>29</v>
      </c>
      <c r="P698" s="2">
        <v>4</v>
      </c>
      <c r="Q698" s="2">
        <f>MOD((ROW()-2),2)</f>
        <v>0</v>
      </c>
    </row>
    <row r="699" spans="1:17" x14ac:dyDescent="0.2">
      <c r="A699" s="1">
        <f t="shared" si="42"/>
        <v>129041</v>
      </c>
      <c r="B699" s="3" t="str">
        <f>VLOOKUP(O699,BulletType!A$1:F$35,2)&amp;VLOOKUP(P699,BulletColor!A$1:C$25,3)</f>
        <v>紫</v>
      </c>
      <c r="C699" s="3" t="str">
        <f>CONCATENATE("Bullet",INT(A699/10)*10)</f>
        <v>Bullet129040</v>
      </c>
      <c r="D699">
        <f>VLOOKUP(O699,BulletType!A$2:N747,9)</f>
        <v>0</v>
      </c>
      <c r="E699">
        <f>VLOOKUP(O699,BulletType!A$2:N747,10)</f>
        <v>0</v>
      </c>
      <c r="F699" s="3" t="str">
        <f>CONCATENATE(VLOOKUP(O699,BulletType!A$2:I$35,8),VLOOKUP(P699,BulletColor!A$2:D$16,4))</f>
        <v>030</v>
      </c>
      <c r="G699" s="3">
        <f>VLOOKUP(O699,BulletType!A$1:G$35,7)</f>
        <v>0</v>
      </c>
      <c r="H699" s="2">
        <f>INT(Q699)</f>
        <v>1</v>
      </c>
      <c r="I699">
        <f>VLOOKUP(O699,BulletType!A$1:F$35,3)</f>
        <v>0</v>
      </c>
      <c r="J699">
        <f>VLOOKUP(O699,BulletType!A$1:F$35,4)</f>
        <v>0</v>
      </c>
      <c r="K699">
        <f>VLOOKUP(O699,BulletType!A$1:F$35,5)</f>
        <v>0</v>
      </c>
      <c r="L699">
        <f>VLOOKUP(O699,BulletType!A$1:F$35,5)</f>
        <v>0</v>
      </c>
      <c r="M699">
        <f>VLOOKUP(O699,BulletType!A$1:F$35,6)</f>
        <v>0</v>
      </c>
      <c r="N699" s="3" t="str">
        <f>VLOOKUP(P699,BulletColor!A$2:B722,2)</f>
        <v>1,0.65,1</v>
      </c>
      <c r="O699" s="2">
        <v>29</v>
      </c>
      <c r="P699" s="2">
        <v>4</v>
      </c>
      <c r="Q699" s="2">
        <f>MOD((ROW()-2),2)</f>
        <v>1</v>
      </c>
    </row>
    <row r="700" spans="1:17" x14ac:dyDescent="0.2">
      <c r="A700" s="1">
        <f t="shared" si="42"/>
        <v>129050</v>
      </c>
      <c r="B700" s="3" t="str">
        <f>VLOOKUP(O700,BulletType!A$1:F$35,2)&amp;VLOOKUP(P700,BulletColor!A$1:C$25,3)</f>
        <v>深蓝</v>
      </c>
      <c r="C700" s="3" t="str">
        <f>CONCATENATE("Bullet",INT(A700/10)*10)</f>
        <v>Bullet129050</v>
      </c>
      <c r="D700">
        <f>VLOOKUP(O700,BulletType!A$2:N748,9)</f>
        <v>0</v>
      </c>
      <c r="E700">
        <f>VLOOKUP(O700,BulletType!A$2:N748,10)</f>
        <v>0</v>
      </c>
      <c r="F700" s="3" t="str">
        <f>CONCATENATE(VLOOKUP(O700,BulletType!A$2:I$35,8),VLOOKUP(P700,BulletColor!A$2:D$16,4))</f>
        <v>050</v>
      </c>
      <c r="G700" s="3">
        <f>VLOOKUP(O700,BulletType!A$1:G$35,7)</f>
        <v>0</v>
      </c>
      <c r="H700" s="2">
        <f>INT(Q700)</f>
        <v>0</v>
      </c>
      <c r="I700">
        <f>VLOOKUP(O700,BulletType!A$1:F$35,3)</f>
        <v>0</v>
      </c>
      <c r="J700">
        <f>VLOOKUP(O700,BulletType!A$1:F$35,4)</f>
        <v>0</v>
      </c>
      <c r="K700">
        <f>VLOOKUP(O700,BulletType!A$1:F$35,5)</f>
        <v>0</v>
      </c>
      <c r="L700">
        <f>VLOOKUP(O700,BulletType!A$1:F$35,5)</f>
        <v>0</v>
      </c>
      <c r="M700">
        <f>VLOOKUP(O700,BulletType!A$1:F$35,6)</f>
        <v>0</v>
      </c>
      <c r="N700" s="3" t="str">
        <f>VLOOKUP(P700,BulletColor!A$2:B723,2)</f>
        <v>0,0.1,1</v>
      </c>
      <c r="O700" s="2">
        <v>29</v>
      </c>
      <c r="P700" s="2">
        <v>5</v>
      </c>
      <c r="Q700" s="2">
        <f>MOD((ROW()-2),2)</f>
        <v>0</v>
      </c>
    </row>
    <row r="701" spans="1:17" x14ac:dyDescent="0.2">
      <c r="A701" s="1">
        <f t="shared" si="42"/>
        <v>129051</v>
      </c>
      <c r="B701" s="3" t="str">
        <f>VLOOKUP(O701,BulletType!A$1:F$35,2)&amp;VLOOKUP(P701,BulletColor!A$1:C$25,3)</f>
        <v>深蓝</v>
      </c>
      <c r="C701" s="3" t="str">
        <f>CONCATENATE("Bullet",INT(A701/10)*10)</f>
        <v>Bullet129050</v>
      </c>
      <c r="D701">
        <f>VLOOKUP(O701,BulletType!A$2:N749,9)</f>
        <v>0</v>
      </c>
      <c r="E701">
        <f>VLOOKUP(O701,BulletType!A$2:N749,10)</f>
        <v>0</v>
      </c>
      <c r="F701" s="3" t="str">
        <f>CONCATENATE(VLOOKUP(O701,BulletType!A$2:I$35,8),VLOOKUP(P701,BulletColor!A$2:D$16,4))</f>
        <v>050</v>
      </c>
      <c r="G701" s="3">
        <f>VLOOKUP(O701,BulletType!A$1:G$35,7)</f>
        <v>0</v>
      </c>
      <c r="H701" s="2">
        <f>INT(Q701)</f>
        <v>1</v>
      </c>
      <c r="I701">
        <f>VLOOKUP(O701,BulletType!A$1:F$35,3)</f>
        <v>0</v>
      </c>
      <c r="J701">
        <f>VLOOKUP(O701,BulletType!A$1:F$35,4)</f>
        <v>0</v>
      </c>
      <c r="K701">
        <f>VLOOKUP(O701,BulletType!A$1:F$35,5)</f>
        <v>0</v>
      </c>
      <c r="L701">
        <f>VLOOKUP(O701,BulletType!A$1:F$35,5)</f>
        <v>0</v>
      </c>
      <c r="M701">
        <f>VLOOKUP(O701,BulletType!A$1:F$35,6)</f>
        <v>0</v>
      </c>
      <c r="N701" s="3" t="str">
        <f>VLOOKUP(P701,BulletColor!A$2:B724,2)</f>
        <v>0,0.1,1</v>
      </c>
      <c r="O701" s="2">
        <v>29</v>
      </c>
      <c r="P701" s="2">
        <v>5</v>
      </c>
      <c r="Q701" s="2">
        <f>MOD((ROW()-2),2)</f>
        <v>1</v>
      </c>
    </row>
    <row r="702" spans="1:17" x14ac:dyDescent="0.2">
      <c r="A702" s="1">
        <f t="shared" si="42"/>
        <v>129060</v>
      </c>
      <c r="B702" s="3" t="str">
        <f>VLOOKUP(O702,BulletType!A$1:F$35,2)&amp;VLOOKUP(P702,BulletColor!A$1:C$25,3)</f>
        <v>蓝</v>
      </c>
      <c r="C702" s="3" t="str">
        <f>CONCATENATE("Bullet",INT(A702/10)*10)</f>
        <v>Bullet129060</v>
      </c>
      <c r="D702">
        <f>VLOOKUP(O702,BulletType!A$2:N750,9)</f>
        <v>0</v>
      </c>
      <c r="E702">
        <f>VLOOKUP(O702,BulletType!A$2:N750,10)</f>
        <v>0</v>
      </c>
      <c r="F702" s="3" t="str">
        <f>CONCATENATE(VLOOKUP(O702,BulletType!A$2:I$35,8),VLOOKUP(P702,BulletColor!A$2:D$16,4))</f>
        <v>050</v>
      </c>
      <c r="G702" s="3">
        <f>VLOOKUP(O702,BulletType!A$1:G$35,7)</f>
        <v>0</v>
      </c>
      <c r="H702" s="2">
        <f>INT(Q702)</f>
        <v>0</v>
      </c>
      <c r="I702">
        <f>VLOOKUP(O702,BulletType!A$1:F$35,3)</f>
        <v>0</v>
      </c>
      <c r="J702">
        <f>VLOOKUP(O702,BulletType!A$1:F$35,4)</f>
        <v>0</v>
      </c>
      <c r="K702">
        <f>VLOOKUP(O702,BulletType!A$1:F$35,5)</f>
        <v>0</v>
      </c>
      <c r="L702">
        <f>VLOOKUP(O702,BulletType!A$1:F$35,5)</f>
        <v>0</v>
      </c>
      <c r="M702">
        <f>VLOOKUP(O702,BulletType!A$1:F$35,6)</f>
        <v>0</v>
      </c>
      <c r="N702" s="3" t="str">
        <f>VLOOKUP(P702,BulletColor!A$2:B725,2)</f>
        <v>0,0.1,1</v>
      </c>
      <c r="O702" s="2">
        <v>29</v>
      </c>
      <c r="P702" s="2">
        <v>6</v>
      </c>
      <c r="Q702" s="2">
        <f>MOD((ROW()-2),2)</f>
        <v>0</v>
      </c>
    </row>
    <row r="703" spans="1:17" x14ac:dyDescent="0.2">
      <c r="A703" s="1">
        <f t="shared" si="42"/>
        <v>129061</v>
      </c>
      <c r="B703" s="3" t="str">
        <f>VLOOKUP(O703,BulletType!A$1:F$35,2)&amp;VLOOKUP(P703,BulletColor!A$1:C$25,3)</f>
        <v>蓝</v>
      </c>
      <c r="C703" s="3" t="str">
        <f>CONCATENATE("Bullet",INT(A703/10)*10)</f>
        <v>Bullet129060</v>
      </c>
      <c r="D703">
        <f>VLOOKUP(O703,BulletType!A$2:N751,9)</f>
        <v>0</v>
      </c>
      <c r="E703">
        <f>VLOOKUP(O703,BulletType!A$2:N751,10)</f>
        <v>0</v>
      </c>
      <c r="F703" s="3" t="str">
        <f>CONCATENATE(VLOOKUP(O703,BulletType!A$2:I$35,8),VLOOKUP(P703,BulletColor!A$2:D$16,4))</f>
        <v>050</v>
      </c>
      <c r="G703" s="3">
        <f>VLOOKUP(O703,BulletType!A$1:G$35,7)</f>
        <v>0</v>
      </c>
      <c r="H703" s="2">
        <f>INT(Q703)</f>
        <v>1</v>
      </c>
      <c r="I703">
        <f>VLOOKUP(O703,BulletType!A$1:F$35,3)</f>
        <v>0</v>
      </c>
      <c r="J703">
        <f>VLOOKUP(O703,BulletType!A$1:F$35,4)</f>
        <v>0</v>
      </c>
      <c r="K703">
        <f>VLOOKUP(O703,BulletType!A$1:F$35,5)</f>
        <v>0</v>
      </c>
      <c r="L703">
        <f>VLOOKUP(O703,BulletType!A$1:F$35,5)</f>
        <v>0</v>
      </c>
      <c r="M703">
        <f>VLOOKUP(O703,BulletType!A$1:F$35,6)</f>
        <v>0</v>
      </c>
      <c r="N703" s="3" t="str">
        <f>VLOOKUP(P703,BulletColor!A$2:B726,2)</f>
        <v>0,0.1,1</v>
      </c>
      <c r="O703" s="2">
        <v>29</v>
      </c>
      <c r="P703" s="2">
        <v>6</v>
      </c>
      <c r="Q703" s="2">
        <f>MOD((ROW()-2),2)</f>
        <v>1</v>
      </c>
    </row>
    <row r="704" spans="1:17" x14ac:dyDescent="0.2">
      <c r="A704" s="1">
        <f t="shared" si="42"/>
        <v>129070</v>
      </c>
      <c r="B704" s="3" t="str">
        <f>VLOOKUP(O704,BulletType!A$1:F$35,2)&amp;VLOOKUP(P704,BulletColor!A$1:C$25,3)</f>
        <v>深青</v>
      </c>
      <c r="C704" s="3" t="str">
        <f>CONCATENATE("Bullet",INT(A704/10)*10)</f>
        <v>Bullet129070</v>
      </c>
      <c r="D704">
        <f>VLOOKUP(O704,BulletType!A$2:N752,9)</f>
        <v>0</v>
      </c>
      <c r="E704">
        <f>VLOOKUP(O704,BulletType!A$2:N752,10)</f>
        <v>0</v>
      </c>
      <c r="F704" s="3" t="str">
        <f>CONCATENATE(VLOOKUP(O704,BulletType!A$2:I$35,8),VLOOKUP(P704,BulletColor!A$2:D$16,4))</f>
        <v>070</v>
      </c>
      <c r="G704" s="3">
        <f>VLOOKUP(O704,BulletType!A$1:G$35,7)</f>
        <v>0</v>
      </c>
      <c r="H704" s="2">
        <f>INT(Q704)</f>
        <v>0</v>
      </c>
      <c r="I704">
        <f>VLOOKUP(O704,BulletType!A$1:F$35,3)</f>
        <v>0</v>
      </c>
      <c r="J704">
        <f>VLOOKUP(O704,BulletType!A$1:F$35,4)</f>
        <v>0</v>
      </c>
      <c r="K704">
        <f>VLOOKUP(O704,BulletType!A$1:F$35,5)</f>
        <v>0</v>
      </c>
      <c r="L704">
        <f>VLOOKUP(O704,BulletType!A$1:F$35,5)</f>
        <v>0</v>
      </c>
      <c r="M704">
        <f>VLOOKUP(O704,BulletType!A$1:F$35,6)</f>
        <v>0</v>
      </c>
      <c r="N704" s="3" t="str">
        <f>VLOOKUP(P704,BulletColor!A$2:B727,2)</f>
        <v>0.25,1,1</v>
      </c>
      <c r="O704" s="2">
        <v>29</v>
      </c>
      <c r="P704" s="2">
        <v>7</v>
      </c>
      <c r="Q704" s="2">
        <f>MOD((ROW()-2),2)</f>
        <v>0</v>
      </c>
    </row>
    <row r="705" spans="1:17" x14ac:dyDescent="0.2">
      <c r="A705" s="1">
        <f t="shared" si="42"/>
        <v>129071</v>
      </c>
      <c r="B705" s="3" t="str">
        <f>VLOOKUP(O705,BulletType!A$1:F$35,2)&amp;VLOOKUP(P705,BulletColor!A$1:C$25,3)</f>
        <v>深青</v>
      </c>
      <c r="C705" s="3" t="str">
        <f>CONCATENATE("Bullet",INT(A705/10)*10)</f>
        <v>Bullet129070</v>
      </c>
      <c r="D705">
        <f>VLOOKUP(O705,BulletType!A$2:N753,9)</f>
        <v>0</v>
      </c>
      <c r="E705">
        <f>VLOOKUP(O705,BulletType!A$2:N753,10)</f>
        <v>0</v>
      </c>
      <c r="F705" s="3" t="str">
        <f>CONCATENATE(VLOOKUP(O705,BulletType!A$2:I$35,8),VLOOKUP(P705,BulletColor!A$2:D$16,4))</f>
        <v>070</v>
      </c>
      <c r="G705" s="3">
        <f>VLOOKUP(O705,BulletType!A$1:G$35,7)</f>
        <v>0</v>
      </c>
      <c r="H705" s="2">
        <f>INT(Q705)</f>
        <v>1</v>
      </c>
      <c r="I705">
        <f>VLOOKUP(O705,BulletType!A$1:F$35,3)</f>
        <v>0</v>
      </c>
      <c r="J705">
        <f>VLOOKUP(O705,BulletType!A$1:F$35,4)</f>
        <v>0</v>
      </c>
      <c r="K705">
        <f>VLOOKUP(O705,BulletType!A$1:F$35,5)</f>
        <v>0</v>
      </c>
      <c r="L705">
        <f>VLOOKUP(O705,BulletType!A$1:F$35,5)</f>
        <v>0</v>
      </c>
      <c r="M705">
        <f>VLOOKUP(O705,BulletType!A$1:F$35,6)</f>
        <v>0</v>
      </c>
      <c r="N705" s="3" t="str">
        <f>VLOOKUP(P705,BulletColor!A$2:B728,2)</f>
        <v>0.25,1,1</v>
      </c>
      <c r="O705" s="2">
        <v>29</v>
      </c>
      <c r="P705" s="2">
        <v>7</v>
      </c>
      <c r="Q705" s="2">
        <f>MOD((ROW()-2),2)</f>
        <v>1</v>
      </c>
    </row>
    <row r="706" spans="1:17" x14ac:dyDescent="0.2">
      <c r="A706" s="1">
        <f t="shared" si="42"/>
        <v>129080</v>
      </c>
      <c r="B706" s="3" t="str">
        <f>VLOOKUP(O706,BulletType!A$1:F$35,2)&amp;VLOOKUP(P706,BulletColor!A$1:C$25,3)</f>
        <v>青</v>
      </c>
      <c r="C706" s="3" t="str">
        <f>CONCATENATE("Bullet",INT(A706/10)*10)</f>
        <v>Bullet129080</v>
      </c>
      <c r="D706">
        <f>VLOOKUP(O706,BulletType!A$2:N754,9)</f>
        <v>0</v>
      </c>
      <c r="E706">
        <f>VLOOKUP(O706,BulletType!A$2:N754,10)</f>
        <v>0</v>
      </c>
      <c r="F706" s="3" t="str">
        <f>CONCATENATE(VLOOKUP(O706,BulletType!A$2:I$35,8),VLOOKUP(P706,BulletColor!A$2:D$16,4))</f>
        <v>070</v>
      </c>
      <c r="G706" s="3">
        <f>VLOOKUP(O706,BulletType!A$1:G$35,7)</f>
        <v>0</v>
      </c>
      <c r="H706" s="2">
        <f>INT(Q706)</f>
        <v>0</v>
      </c>
      <c r="I706">
        <f>VLOOKUP(O706,BulletType!A$1:F$35,3)</f>
        <v>0</v>
      </c>
      <c r="J706">
        <f>VLOOKUP(O706,BulletType!A$1:F$35,4)</f>
        <v>0</v>
      </c>
      <c r="K706">
        <f>VLOOKUP(O706,BulletType!A$1:F$35,5)</f>
        <v>0</v>
      </c>
      <c r="L706">
        <f>VLOOKUP(O706,BulletType!A$1:F$35,5)</f>
        <v>0</v>
      </c>
      <c r="M706">
        <f>VLOOKUP(O706,BulletType!A$1:F$35,6)</f>
        <v>0</v>
      </c>
      <c r="N706" s="3" t="str">
        <f>VLOOKUP(P706,BulletColor!A$2:B729,2)</f>
        <v>0.25,1,1</v>
      </c>
      <c r="O706" s="2">
        <v>29</v>
      </c>
      <c r="P706" s="2">
        <v>8</v>
      </c>
      <c r="Q706" s="2">
        <f>MOD((ROW()-2),2)</f>
        <v>0</v>
      </c>
    </row>
    <row r="707" spans="1:17" x14ac:dyDescent="0.2">
      <c r="A707" s="1">
        <f t="shared" ref="A707:A753" si="43">VALUE(CONCATENATE(1,(REPT(0,2-LEN(O707))&amp;O707),REPT(0,2-LEN(P707))&amp;(P707),Q707))</f>
        <v>129081</v>
      </c>
      <c r="B707" s="3" t="str">
        <f>VLOOKUP(O707,BulletType!A$1:F$35,2)&amp;VLOOKUP(P707,BulletColor!A$1:C$25,3)</f>
        <v>青</v>
      </c>
      <c r="C707" s="3" t="str">
        <f>CONCATENATE("Bullet",INT(A707/10)*10)</f>
        <v>Bullet129080</v>
      </c>
      <c r="D707">
        <f>VLOOKUP(O707,BulletType!A$2:N755,9)</f>
        <v>0</v>
      </c>
      <c r="E707">
        <f>VLOOKUP(O707,BulletType!A$2:N755,10)</f>
        <v>0</v>
      </c>
      <c r="F707" s="3" t="str">
        <f>CONCATENATE(VLOOKUP(O707,BulletType!A$2:I$35,8),VLOOKUP(P707,BulletColor!A$2:D$16,4))</f>
        <v>070</v>
      </c>
      <c r="G707" s="3">
        <f>VLOOKUP(O707,BulletType!A$1:G$35,7)</f>
        <v>0</v>
      </c>
      <c r="H707" s="2">
        <f>INT(Q707)</f>
        <v>1</v>
      </c>
      <c r="I707">
        <f>VLOOKUP(O707,BulletType!A$1:F$35,3)</f>
        <v>0</v>
      </c>
      <c r="J707">
        <f>VLOOKUP(O707,BulletType!A$1:F$35,4)</f>
        <v>0</v>
      </c>
      <c r="K707">
        <f>VLOOKUP(O707,BulletType!A$1:F$35,5)</f>
        <v>0</v>
      </c>
      <c r="L707">
        <f>VLOOKUP(O707,BulletType!A$1:F$35,5)</f>
        <v>0</v>
      </c>
      <c r="M707">
        <f>VLOOKUP(O707,BulletType!A$1:F$35,6)</f>
        <v>0</v>
      </c>
      <c r="N707" s="3" t="str">
        <f>VLOOKUP(P707,BulletColor!A$2:B730,2)</f>
        <v>0.25,1,1</v>
      </c>
      <c r="O707" s="2">
        <v>29</v>
      </c>
      <c r="P707" s="2">
        <v>8</v>
      </c>
      <c r="Q707" s="2">
        <f>MOD((ROW()-2),2)</f>
        <v>1</v>
      </c>
    </row>
    <row r="708" spans="1:17" x14ac:dyDescent="0.2">
      <c r="A708" s="1">
        <f t="shared" si="43"/>
        <v>129090</v>
      </c>
      <c r="B708" s="3" t="str">
        <f>VLOOKUP(O708,BulletType!A$1:F$35,2)&amp;VLOOKUP(P708,BulletColor!A$1:C$25,3)</f>
        <v>深绿</v>
      </c>
      <c r="C708" s="3" t="str">
        <f>CONCATENATE("Bullet",INT(A708/10)*10)</f>
        <v>Bullet129090</v>
      </c>
      <c r="D708">
        <f>VLOOKUP(O708,BulletType!A$2:N756,9)</f>
        <v>0</v>
      </c>
      <c r="E708">
        <f>VLOOKUP(O708,BulletType!A$2:N756,10)</f>
        <v>0</v>
      </c>
      <c r="F708" s="3" t="str">
        <f>CONCATENATE(VLOOKUP(O708,BulletType!A$2:I$35,8),VLOOKUP(P708,BulletColor!A$2:D$16,4))</f>
        <v>090</v>
      </c>
      <c r="G708" s="3">
        <f>VLOOKUP(O708,BulletType!A$1:G$35,7)</f>
        <v>0</v>
      </c>
      <c r="H708" s="2">
        <f>INT(Q708)</f>
        <v>0</v>
      </c>
      <c r="I708">
        <f>VLOOKUP(O708,BulletType!A$1:F$35,3)</f>
        <v>0</v>
      </c>
      <c r="J708">
        <f>VLOOKUP(O708,BulletType!A$1:F$35,4)</f>
        <v>0</v>
      </c>
      <c r="K708">
        <f>VLOOKUP(O708,BulletType!A$1:F$35,5)</f>
        <v>0</v>
      </c>
      <c r="L708">
        <f>VLOOKUP(O708,BulletType!A$1:F$35,5)</f>
        <v>0</v>
      </c>
      <c r="M708">
        <f>VLOOKUP(O708,BulletType!A$1:F$35,6)</f>
        <v>0</v>
      </c>
      <c r="N708" s="3" t="str">
        <f>VLOOKUP(P708,BulletColor!A$2:B731,2)</f>
        <v>0.36,0.78,1</v>
      </c>
      <c r="O708" s="2">
        <v>29</v>
      </c>
      <c r="P708" s="2">
        <v>9</v>
      </c>
      <c r="Q708" s="2">
        <f>MOD((ROW()-2),2)</f>
        <v>0</v>
      </c>
    </row>
    <row r="709" spans="1:17" x14ac:dyDescent="0.2">
      <c r="A709" s="1">
        <f t="shared" si="43"/>
        <v>129091</v>
      </c>
      <c r="B709" s="3" t="str">
        <f>VLOOKUP(O709,BulletType!A$1:F$35,2)&amp;VLOOKUP(P709,BulletColor!A$1:C$25,3)</f>
        <v>深绿</v>
      </c>
      <c r="C709" s="3" t="str">
        <f>CONCATENATE("Bullet",INT(A709/10)*10)</f>
        <v>Bullet129090</v>
      </c>
      <c r="D709">
        <f>VLOOKUP(O709,BulletType!A$2:N757,9)</f>
        <v>0</v>
      </c>
      <c r="E709">
        <f>VLOOKUP(O709,BulletType!A$2:N757,10)</f>
        <v>0</v>
      </c>
      <c r="F709" s="3" t="str">
        <f>CONCATENATE(VLOOKUP(O709,BulletType!A$2:I$35,8),VLOOKUP(P709,BulletColor!A$2:D$16,4))</f>
        <v>090</v>
      </c>
      <c r="G709" s="3">
        <f>VLOOKUP(O709,BulletType!A$1:G$35,7)</f>
        <v>0</v>
      </c>
      <c r="H709" s="2">
        <f>INT(Q709)</f>
        <v>1</v>
      </c>
      <c r="I709">
        <f>VLOOKUP(O709,BulletType!A$1:F$35,3)</f>
        <v>0</v>
      </c>
      <c r="J709">
        <f>VLOOKUP(O709,BulletType!A$1:F$35,4)</f>
        <v>0</v>
      </c>
      <c r="K709">
        <f>VLOOKUP(O709,BulletType!A$1:F$35,5)</f>
        <v>0</v>
      </c>
      <c r="L709">
        <f>VLOOKUP(O709,BulletType!A$1:F$35,5)</f>
        <v>0</v>
      </c>
      <c r="M709">
        <f>VLOOKUP(O709,BulletType!A$1:F$35,6)</f>
        <v>0</v>
      </c>
      <c r="N709" s="3" t="str">
        <f>VLOOKUP(P709,BulletColor!A$2:B732,2)</f>
        <v>0.36,0.78,1</v>
      </c>
      <c r="O709" s="2">
        <v>29</v>
      </c>
      <c r="P709" s="2">
        <v>9</v>
      </c>
      <c r="Q709" s="2">
        <f>MOD((ROW()-2),2)</f>
        <v>1</v>
      </c>
    </row>
    <row r="710" spans="1:17" x14ac:dyDescent="0.2">
      <c r="A710" s="1">
        <f t="shared" si="43"/>
        <v>129100</v>
      </c>
      <c r="B710" s="3" t="str">
        <f>VLOOKUP(O710,BulletType!A$1:F$35,2)&amp;VLOOKUP(P710,BulletColor!A$1:C$25,3)</f>
        <v>绿</v>
      </c>
      <c r="C710" s="3" t="str">
        <f>CONCATENATE("Bullet",INT(A710/10)*10)</f>
        <v>Bullet129100</v>
      </c>
      <c r="D710">
        <f>VLOOKUP(O710,BulletType!A$2:N758,9)</f>
        <v>0</v>
      </c>
      <c r="E710">
        <f>VLOOKUP(O710,BulletType!A$2:N758,10)</f>
        <v>0</v>
      </c>
      <c r="F710" s="3" t="str">
        <f>CONCATENATE(VLOOKUP(O710,BulletType!A$2:I$35,8),VLOOKUP(P710,BulletColor!A$2:D$16,4))</f>
        <v>090</v>
      </c>
      <c r="G710" s="3">
        <f>VLOOKUP(O710,BulletType!A$1:G$35,7)</f>
        <v>0</v>
      </c>
      <c r="H710" s="2">
        <f>INT(Q710)</f>
        <v>0</v>
      </c>
      <c r="I710">
        <f>VLOOKUP(O710,BulletType!A$1:F$35,3)</f>
        <v>0</v>
      </c>
      <c r="J710">
        <f>VLOOKUP(O710,BulletType!A$1:F$35,4)</f>
        <v>0</v>
      </c>
      <c r="K710">
        <f>VLOOKUP(O710,BulletType!A$1:F$35,5)</f>
        <v>0</v>
      </c>
      <c r="L710">
        <f>VLOOKUP(O710,BulletType!A$1:F$35,5)</f>
        <v>0</v>
      </c>
      <c r="M710">
        <f>VLOOKUP(O710,BulletType!A$1:F$35,6)</f>
        <v>0</v>
      </c>
      <c r="N710" s="3" t="str">
        <f>VLOOKUP(P710,BulletColor!A$2:B733,2)</f>
        <v>0.36,0.78,1</v>
      </c>
      <c r="O710" s="2">
        <v>29</v>
      </c>
      <c r="P710" s="2">
        <v>10</v>
      </c>
      <c r="Q710" s="2">
        <f>MOD((ROW()-2),2)</f>
        <v>0</v>
      </c>
    </row>
    <row r="711" spans="1:17" x14ac:dyDescent="0.2">
      <c r="A711" s="1">
        <f t="shared" si="43"/>
        <v>129101</v>
      </c>
      <c r="B711" s="3" t="str">
        <f>VLOOKUP(O711,BulletType!A$1:F$35,2)&amp;VLOOKUP(P711,BulletColor!A$1:C$25,3)</f>
        <v>绿</v>
      </c>
      <c r="C711" s="3" t="str">
        <f>CONCATENATE("Bullet",INT(A711/10)*10)</f>
        <v>Bullet129100</v>
      </c>
      <c r="D711">
        <f>VLOOKUP(O711,BulletType!A$2:N759,9)</f>
        <v>0</v>
      </c>
      <c r="E711">
        <f>VLOOKUP(O711,BulletType!A$2:N759,10)</f>
        <v>0</v>
      </c>
      <c r="F711" s="3" t="str">
        <f>CONCATENATE(VLOOKUP(O711,BulletType!A$2:I$35,8),VLOOKUP(P711,BulletColor!A$2:D$16,4))</f>
        <v>090</v>
      </c>
      <c r="G711" s="3">
        <f>VLOOKUP(O711,BulletType!A$1:G$35,7)</f>
        <v>0</v>
      </c>
      <c r="H711" s="2">
        <f>INT(Q711)</f>
        <v>1</v>
      </c>
      <c r="I711">
        <f>VLOOKUP(O711,BulletType!A$1:F$35,3)</f>
        <v>0</v>
      </c>
      <c r="J711">
        <f>VLOOKUP(O711,BulletType!A$1:F$35,4)</f>
        <v>0</v>
      </c>
      <c r="K711">
        <f>VLOOKUP(O711,BulletType!A$1:F$35,5)</f>
        <v>0</v>
      </c>
      <c r="L711">
        <f>VLOOKUP(O711,BulletType!A$1:F$35,5)</f>
        <v>0</v>
      </c>
      <c r="M711">
        <f>VLOOKUP(O711,BulletType!A$1:F$35,6)</f>
        <v>0</v>
      </c>
      <c r="N711" s="3" t="str">
        <f>VLOOKUP(P711,BulletColor!A$2:B734,2)</f>
        <v>0.36,0.78,1</v>
      </c>
      <c r="O711" s="2">
        <v>29</v>
      </c>
      <c r="P711" s="2">
        <v>10</v>
      </c>
      <c r="Q711" s="2">
        <f>MOD((ROW()-2),2)</f>
        <v>1</v>
      </c>
    </row>
    <row r="712" spans="1:17" x14ac:dyDescent="0.2">
      <c r="A712" s="1">
        <f t="shared" si="43"/>
        <v>129110</v>
      </c>
      <c r="B712" s="3" t="str">
        <f>VLOOKUP(O712,BulletType!A$1:F$35,2)&amp;VLOOKUP(P712,BulletColor!A$1:C$25,3)</f>
        <v>黄绿</v>
      </c>
      <c r="C712" s="3" t="str">
        <f>CONCATENATE("Bullet",INT(A712/10)*10)</f>
        <v>Bullet129110</v>
      </c>
      <c r="D712">
        <f>VLOOKUP(O712,BulletType!A$2:N760,9)</f>
        <v>0</v>
      </c>
      <c r="E712">
        <f>VLOOKUP(O712,BulletType!A$2:N760,10)</f>
        <v>0</v>
      </c>
      <c r="F712" s="3" t="str">
        <f>CONCATENATE(VLOOKUP(O712,BulletType!A$2:I$35,8),VLOOKUP(P712,BulletColor!A$2:D$16,4))</f>
        <v>090</v>
      </c>
      <c r="G712" s="3">
        <f>VLOOKUP(O712,BulletType!A$1:G$35,7)</f>
        <v>0</v>
      </c>
      <c r="H712" s="2">
        <f>INT(Q712)</f>
        <v>0</v>
      </c>
      <c r="I712">
        <f>VLOOKUP(O712,BulletType!A$1:F$35,3)</f>
        <v>0</v>
      </c>
      <c r="J712">
        <f>VLOOKUP(O712,BulletType!A$1:F$35,4)</f>
        <v>0</v>
      </c>
      <c r="K712">
        <f>VLOOKUP(O712,BulletType!A$1:F$35,5)</f>
        <v>0</v>
      </c>
      <c r="L712">
        <f>VLOOKUP(O712,BulletType!A$1:F$35,5)</f>
        <v>0</v>
      </c>
      <c r="M712">
        <f>VLOOKUP(O712,BulletType!A$1:F$35,6)</f>
        <v>0</v>
      </c>
      <c r="N712" s="3" t="str">
        <f>VLOOKUP(P712,BulletColor!A$2:B735,2)</f>
        <v>0.9,1,0.4</v>
      </c>
      <c r="O712" s="2">
        <v>29</v>
      </c>
      <c r="P712" s="2">
        <v>11</v>
      </c>
      <c r="Q712" s="2">
        <f>MOD((ROW()-2),2)</f>
        <v>0</v>
      </c>
    </row>
    <row r="713" spans="1:17" x14ac:dyDescent="0.2">
      <c r="A713" s="1">
        <f t="shared" si="43"/>
        <v>129111</v>
      </c>
      <c r="B713" s="3" t="str">
        <f>VLOOKUP(O713,BulletType!A$1:F$35,2)&amp;VLOOKUP(P713,BulletColor!A$1:C$25,3)</f>
        <v>黄绿</v>
      </c>
      <c r="C713" s="3" t="str">
        <f>CONCATENATE("Bullet",INT(A713/10)*10)</f>
        <v>Bullet129110</v>
      </c>
      <c r="D713">
        <f>VLOOKUP(O713,BulletType!A$2:N761,9)</f>
        <v>0</v>
      </c>
      <c r="E713">
        <f>VLOOKUP(O713,BulletType!A$2:N761,10)</f>
        <v>0</v>
      </c>
      <c r="F713" s="3" t="str">
        <f>CONCATENATE(VLOOKUP(O713,BulletType!A$2:I$35,8),VLOOKUP(P713,BulletColor!A$2:D$16,4))</f>
        <v>090</v>
      </c>
      <c r="G713" s="3">
        <f>VLOOKUP(O713,BulletType!A$1:G$35,7)</f>
        <v>0</v>
      </c>
      <c r="H713" s="2">
        <f>INT(Q713)</f>
        <v>1</v>
      </c>
      <c r="I713">
        <f>VLOOKUP(O713,BulletType!A$1:F$35,3)</f>
        <v>0</v>
      </c>
      <c r="J713">
        <f>VLOOKUP(O713,BulletType!A$1:F$35,4)</f>
        <v>0</v>
      </c>
      <c r="K713">
        <f>VLOOKUP(O713,BulletType!A$1:F$35,5)</f>
        <v>0</v>
      </c>
      <c r="L713">
        <f>VLOOKUP(O713,BulletType!A$1:F$35,5)</f>
        <v>0</v>
      </c>
      <c r="M713">
        <f>VLOOKUP(O713,BulletType!A$1:F$35,6)</f>
        <v>0</v>
      </c>
      <c r="N713" s="3" t="str">
        <f>VLOOKUP(P713,BulletColor!A$2:B736,2)</f>
        <v>0.9,1,0.4</v>
      </c>
      <c r="O713" s="2">
        <v>29</v>
      </c>
      <c r="P713" s="2">
        <v>11</v>
      </c>
      <c r="Q713" s="2">
        <f>MOD((ROW()-2),2)</f>
        <v>1</v>
      </c>
    </row>
    <row r="714" spans="1:17" x14ac:dyDescent="0.2">
      <c r="A714" s="1">
        <f t="shared" si="43"/>
        <v>129120</v>
      </c>
      <c r="B714" s="3" t="str">
        <f>VLOOKUP(O714,BulletType!A$1:F$35,2)&amp;VLOOKUP(P714,BulletColor!A$1:C$25,3)</f>
        <v>深黄</v>
      </c>
      <c r="C714" s="3" t="str">
        <f>CONCATENATE("Bullet",INT(A714/10)*10)</f>
        <v>Bullet129120</v>
      </c>
      <c r="D714">
        <f>VLOOKUP(O714,BulletType!A$2:N762,9)</f>
        <v>0</v>
      </c>
      <c r="E714">
        <f>VLOOKUP(O714,BulletType!A$2:N762,10)</f>
        <v>0</v>
      </c>
      <c r="F714" s="3" t="str">
        <f>CONCATENATE(VLOOKUP(O714,BulletType!A$2:I$35,8),VLOOKUP(P714,BulletColor!A$2:D$16,4))</f>
        <v>090</v>
      </c>
      <c r="G714" s="3">
        <f>VLOOKUP(O714,BulletType!A$1:G$35,7)</f>
        <v>0</v>
      </c>
      <c r="H714" s="2">
        <f>INT(Q714)</f>
        <v>0</v>
      </c>
      <c r="I714">
        <f>VLOOKUP(O714,BulletType!A$1:F$35,3)</f>
        <v>0</v>
      </c>
      <c r="J714">
        <f>VLOOKUP(O714,BulletType!A$1:F$35,4)</f>
        <v>0</v>
      </c>
      <c r="K714">
        <f>VLOOKUP(O714,BulletType!A$1:F$35,5)</f>
        <v>0</v>
      </c>
      <c r="L714">
        <f>VLOOKUP(O714,BulletType!A$1:F$35,5)</f>
        <v>0</v>
      </c>
      <c r="M714">
        <f>VLOOKUP(O714,BulletType!A$1:F$35,6)</f>
        <v>0</v>
      </c>
      <c r="N714" s="3" t="str">
        <f>VLOOKUP(P714,BulletColor!A$2:B737,2)</f>
        <v>0.9,1,0.4</v>
      </c>
      <c r="O714" s="2">
        <v>29</v>
      </c>
      <c r="P714" s="2">
        <v>12</v>
      </c>
      <c r="Q714" s="2">
        <f>MOD((ROW()-2),2)</f>
        <v>0</v>
      </c>
    </row>
    <row r="715" spans="1:17" x14ac:dyDescent="0.2">
      <c r="A715" s="1">
        <f t="shared" si="43"/>
        <v>129121</v>
      </c>
      <c r="B715" s="3" t="str">
        <f>VLOOKUP(O715,BulletType!A$1:F$35,2)&amp;VLOOKUP(P715,BulletColor!A$1:C$25,3)</f>
        <v>深黄</v>
      </c>
      <c r="C715" s="3" t="str">
        <f>CONCATENATE("Bullet",INT(A715/10)*10)</f>
        <v>Bullet129120</v>
      </c>
      <c r="D715">
        <f>VLOOKUP(O715,BulletType!A$2:N763,9)</f>
        <v>0</v>
      </c>
      <c r="E715">
        <f>VLOOKUP(O715,BulletType!A$2:N763,10)</f>
        <v>0</v>
      </c>
      <c r="F715" s="3" t="str">
        <f>CONCATENATE(VLOOKUP(O715,BulletType!A$2:I$35,8),VLOOKUP(P715,BulletColor!A$2:D$16,4))</f>
        <v>090</v>
      </c>
      <c r="G715" s="3">
        <f>VLOOKUP(O715,BulletType!A$1:G$35,7)</f>
        <v>0</v>
      </c>
      <c r="H715" s="2">
        <f>INT(Q715)</f>
        <v>1</v>
      </c>
      <c r="I715">
        <f>VLOOKUP(O715,BulletType!A$1:F$35,3)</f>
        <v>0</v>
      </c>
      <c r="J715">
        <f>VLOOKUP(O715,BulletType!A$1:F$35,4)</f>
        <v>0</v>
      </c>
      <c r="K715">
        <f>VLOOKUP(O715,BulletType!A$1:F$35,5)</f>
        <v>0</v>
      </c>
      <c r="L715">
        <f>VLOOKUP(O715,BulletType!A$1:F$35,5)</f>
        <v>0</v>
      </c>
      <c r="M715">
        <f>VLOOKUP(O715,BulletType!A$1:F$35,6)</f>
        <v>0</v>
      </c>
      <c r="N715" s="3" t="str">
        <f>VLOOKUP(P715,BulletColor!A$2:B738,2)</f>
        <v>0.9,1,0.4</v>
      </c>
      <c r="O715" s="2">
        <v>29</v>
      </c>
      <c r="P715" s="2">
        <v>12</v>
      </c>
      <c r="Q715" s="2">
        <f>MOD((ROW()-2),2)</f>
        <v>1</v>
      </c>
    </row>
    <row r="716" spans="1:17" x14ac:dyDescent="0.2">
      <c r="A716" s="1">
        <f t="shared" si="43"/>
        <v>129130</v>
      </c>
      <c r="B716" s="3" t="str">
        <f>VLOOKUP(O716,BulletType!A$1:F$35,2)&amp;VLOOKUP(P716,BulletColor!A$1:C$25,3)</f>
        <v>浅黄</v>
      </c>
      <c r="C716" s="3" t="str">
        <f>CONCATENATE("Bullet",INT(A716/10)*10)</f>
        <v>Bullet129130</v>
      </c>
      <c r="D716">
        <f>VLOOKUP(O716,BulletType!A$2:N764,9)</f>
        <v>0</v>
      </c>
      <c r="E716">
        <f>VLOOKUP(O716,BulletType!A$2:N764,10)</f>
        <v>0</v>
      </c>
      <c r="F716" s="3" t="str">
        <f>CONCATENATE(VLOOKUP(O716,BulletType!A$2:I$35,8),VLOOKUP(P716,BulletColor!A$2:D$16,4))</f>
        <v>130</v>
      </c>
      <c r="G716" s="3">
        <f>VLOOKUP(O716,BulletType!A$1:G$35,7)</f>
        <v>0</v>
      </c>
      <c r="H716" s="2">
        <f>INT(Q716)</f>
        <v>0</v>
      </c>
      <c r="I716">
        <f>VLOOKUP(O716,BulletType!A$1:F$35,3)</f>
        <v>0</v>
      </c>
      <c r="J716">
        <f>VLOOKUP(O716,BulletType!A$1:F$35,4)</f>
        <v>0</v>
      </c>
      <c r="K716">
        <f>VLOOKUP(O716,BulletType!A$1:F$35,5)</f>
        <v>0</v>
      </c>
      <c r="L716">
        <f>VLOOKUP(O716,BulletType!A$1:F$35,5)</f>
        <v>0</v>
      </c>
      <c r="M716">
        <f>VLOOKUP(O716,BulletType!A$1:F$35,6)</f>
        <v>0</v>
      </c>
      <c r="N716" s="3" t="str">
        <f>VLOOKUP(P716,BulletColor!A$2:B739,2)</f>
        <v>0.9,1,0.4</v>
      </c>
      <c r="O716" s="2">
        <v>29</v>
      </c>
      <c r="P716" s="2">
        <v>13</v>
      </c>
      <c r="Q716" s="2">
        <f>MOD((ROW()-2),2)</f>
        <v>0</v>
      </c>
    </row>
    <row r="717" spans="1:17" x14ac:dyDescent="0.2">
      <c r="A717" s="1">
        <f t="shared" si="43"/>
        <v>129131</v>
      </c>
      <c r="B717" s="3" t="str">
        <f>VLOOKUP(O717,BulletType!A$1:F$35,2)&amp;VLOOKUP(P717,BulletColor!A$1:C$25,3)</f>
        <v>浅黄</v>
      </c>
      <c r="C717" s="3" t="str">
        <f>CONCATENATE("Bullet",INT(A717/10)*10)</f>
        <v>Bullet129130</v>
      </c>
      <c r="D717">
        <f>VLOOKUP(O717,BulletType!A$2:N765,9)</f>
        <v>0</v>
      </c>
      <c r="E717">
        <f>VLOOKUP(O717,BulletType!A$2:N765,10)</f>
        <v>0</v>
      </c>
      <c r="F717" s="3" t="str">
        <f>CONCATENATE(VLOOKUP(O717,BulletType!A$2:I$35,8),VLOOKUP(P717,BulletColor!A$2:D$16,4))</f>
        <v>130</v>
      </c>
      <c r="G717" s="3">
        <f>VLOOKUP(O717,BulletType!A$1:G$35,7)</f>
        <v>0</v>
      </c>
      <c r="H717" s="2">
        <f>INT(Q717)</f>
        <v>1</v>
      </c>
      <c r="I717">
        <f>VLOOKUP(O717,BulletType!A$1:F$35,3)</f>
        <v>0</v>
      </c>
      <c r="J717">
        <f>VLOOKUP(O717,BulletType!A$1:F$35,4)</f>
        <v>0</v>
      </c>
      <c r="K717">
        <f>VLOOKUP(O717,BulletType!A$1:F$35,5)</f>
        <v>0</v>
      </c>
      <c r="L717">
        <f>VLOOKUP(O717,BulletType!A$1:F$35,5)</f>
        <v>0</v>
      </c>
      <c r="M717">
        <f>VLOOKUP(O717,BulletType!A$1:F$35,6)</f>
        <v>0</v>
      </c>
      <c r="N717" s="3" t="str">
        <f>VLOOKUP(P717,BulletColor!A$2:B740,2)</f>
        <v>0.9,1,0.4</v>
      </c>
      <c r="O717" s="2">
        <v>29</v>
      </c>
      <c r="P717" s="2">
        <v>13</v>
      </c>
      <c r="Q717" s="2">
        <f>MOD((ROW()-2),2)</f>
        <v>1</v>
      </c>
    </row>
    <row r="718" spans="1:17" x14ac:dyDescent="0.2">
      <c r="A718" s="1">
        <f t="shared" si="43"/>
        <v>129140</v>
      </c>
      <c r="B718" s="3" t="str">
        <f>VLOOKUP(O718,BulletType!A$1:F$35,2)&amp;VLOOKUP(P718,BulletColor!A$1:C$25,3)</f>
        <v>棕黄</v>
      </c>
      <c r="C718" s="3" t="str">
        <f>CONCATENATE("Bullet",INT(A718/10)*10)</f>
        <v>Bullet129140</v>
      </c>
      <c r="D718">
        <f>VLOOKUP(O718,BulletType!A$2:N766,9)</f>
        <v>0</v>
      </c>
      <c r="E718">
        <f>VLOOKUP(O718,BulletType!A$2:N766,10)</f>
        <v>0</v>
      </c>
      <c r="F718" s="3" t="str">
        <f>CONCATENATE(VLOOKUP(O718,BulletType!A$2:I$35,8),VLOOKUP(P718,BulletColor!A$2:D$16,4))</f>
        <v>130</v>
      </c>
      <c r="G718" s="3">
        <f>VLOOKUP(O718,BulletType!A$1:G$35,7)</f>
        <v>0</v>
      </c>
      <c r="H718" s="2">
        <f>INT(Q718)</f>
        <v>0</v>
      </c>
      <c r="I718">
        <f>VLOOKUP(O718,BulletType!A$1:F$35,3)</f>
        <v>0</v>
      </c>
      <c r="J718">
        <f>VLOOKUP(O718,BulletType!A$1:F$35,4)</f>
        <v>0</v>
      </c>
      <c r="K718">
        <f>VLOOKUP(O718,BulletType!A$1:F$35,5)</f>
        <v>0</v>
      </c>
      <c r="L718">
        <f>VLOOKUP(O718,BulletType!A$1:F$35,5)</f>
        <v>0</v>
      </c>
      <c r="M718">
        <f>VLOOKUP(O718,BulletType!A$1:F$35,6)</f>
        <v>0</v>
      </c>
      <c r="N718" s="3" t="str">
        <f>VLOOKUP(P718,BulletColor!A$2:B741,2)</f>
        <v>0.9,1,0.4</v>
      </c>
      <c r="O718" s="2">
        <v>29</v>
      </c>
      <c r="P718" s="2">
        <v>14</v>
      </c>
      <c r="Q718" s="2">
        <f>MOD((ROW()-2),2)</f>
        <v>0</v>
      </c>
    </row>
    <row r="719" spans="1:17" x14ac:dyDescent="0.2">
      <c r="A719" s="1">
        <f t="shared" si="43"/>
        <v>129141</v>
      </c>
      <c r="B719" s="3" t="str">
        <f>VLOOKUP(O719,BulletType!A$1:F$35,2)&amp;VLOOKUP(P719,BulletColor!A$1:C$25,3)</f>
        <v>棕黄</v>
      </c>
      <c r="C719" s="3" t="str">
        <f>CONCATENATE("Bullet",INT(A719/10)*10)</f>
        <v>Bullet129140</v>
      </c>
      <c r="D719">
        <f>VLOOKUP(O719,BulletType!A$2:N767,9)</f>
        <v>0</v>
      </c>
      <c r="E719">
        <f>VLOOKUP(O719,BulletType!A$2:N767,10)</f>
        <v>0</v>
      </c>
      <c r="F719" s="3" t="str">
        <f>CONCATENATE(VLOOKUP(O719,BulletType!A$2:I$35,8),VLOOKUP(P719,BulletColor!A$2:D$16,4))</f>
        <v>130</v>
      </c>
      <c r="G719" s="3">
        <f>VLOOKUP(O719,BulletType!A$1:G$35,7)</f>
        <v>0</v>
      </c>
      <c r="H719" s="2">
        <f>INT(Q719)</f>
        <v>1</v>
      </c>
      <c r="I719">
        <f>VLOOKUP(O719,BulletType!A$1:F$35,3)</f>
        <v>0</v>
      </c>
      <c r="J719">
        <f>VLOOKUP(O719,BulletType!A$1:F$35,4)</f>
        <v>0</v>
      </c>
      <c r="K719">
        <f>VLOOKUP(O719,BulletType!A$1:F$35,5)</f>
        <v>0</v>
      </c>
      <c r="L719">
        <f>VLOOKUP(O719,BulletType!A$1:F$35,5)</f>
        <v>0</v>
      </c>
      <c r="M719">
        <f>VLOOKUP(O719,BulletType!A$1:F$35,6)</f>
        <v>0</v>
      </c>
      <c r="N719" s="3" t="str">
        <f>VLOOKUP(P719,BulletColor!A$2:B742,2)</f>
        <v>0.9,1,0.4</v>
      </c>
      <c r="O719" s="2">
        <v>29</v>
      </c>
      <c r="P719" s="2">
        <v>14</v>
      </c>
      <c r="Q719" s="2">
        <f>MOD((ROW()-2),2)</f>
        <v>1</v>
      </c>
    </row>
    <row r="720" spans="1:17" x14ac:dyDescent="0.2">
      <c r="A720" s="1">
        <f t="shared" si="43"/>
        <v>129150</v>
      </c>
      <c r="B720" s="3" t="str">
        <f>VLOOKUP(O720,BulletType!A$1:F$35,2)&amp;VLOOKUP(P720,BulletColor!A$1:C$25,3)</f>
        <v>白</v>
      </c>
      <c r="C720" s="3" t="str">
        <f>CONCATENATE("Bullet",INT(A720/10)*10)</f>
        <v>Bullet129150</v>
      </c>
      <c r="D720">
        <f>VLOOKUP(O720,BulletType!A$2:N768,9)</f>
        <v>0</v>
      </c>
      <c r="E720">
        <f>VLOOKUP(O720,BulletType!A$2:N768,10)</f>
        <v>0</v>
      </c>
      <c r="F720" s="3" t="str">
        <f>CONCATENATE(VLOOKUP(O720,BulletType!A$2:I$35,8),VLOOKUP(P720,BulletColor!A$2:D$16,4))</f>
        <v>130</v>
      </c>
      <c r="G720" s="3">
        <f>VLOOKUP(O720,BulletType!A$1:G$35,7)</f>
        <v>0</v>
      </c>
      <c r="H720" s="2">
        <f>INT(Q720)</f>
        <v>0</v>
      </c>
      <c r="I720">
        <f>VLOOKUP(O720,BulletType!A$1:F$35,3)</f>
        <v>0</v>
      </c>
      <c r="J720">
        <f>VLOOKUP(O720,BulletType!A$1:F$35,4)</f>
        <v>0</v>
      </c>
      <c r="K720">
        <f>VLOOKUP(O720,BulletType!A$1:F$35,5)</f>
        <v>0</v>
      </c>
      <c r="L720">
        <f>VLOOKUP(O720,BulletType!A$1:F$35,5)</f>
        <v>0</v>
      </c>
      <c r="M720">
        <f>VLOOKUP(O720,BulletType!A$1:F$35,6)</f>
        <v>0</v>
      </c>
      <c r="N720" s="3" t="str">
        <f>VLOOKUP(P720,BulletColor!A$2:B743,2)</f>
        <v>0.8,0.8,0.8</v>
      </c>
      <c r="O720" s="2">
        <v>29</v>
      </c>
      <c r="P720" s="2">
        <v>15</v>
      </c>
      <c r="Q720" s="2">
        <f>MOD((ROW()-2),2)</f>
        <v>0</v>
      </c>
    </row>
    <row r="721" spans="1:17" x14ac:dyDescent="0.2">
      <c r="A721" s="1">
        <f t="shared" si="43"/>
        <v>129151</v>
      </c>
      <c r="B721" s="3" t="str">
        <f>VLOOKUP(O721,BulletType!A$1:F$35,2)&amp;VLOOKUP(P721,BulletColor!A$1:C$25,3)</f>
        <v>白</v>
      </c>
      <c r="C721" s="3" t="str">
        <f>CONCATENATE("Bullet",INT(A721/10)*10)</f>
        <v>Bullet129150</v>
      </c>
      <c r="D721">
        <f>VLOOKUP(O721,BulletType!A$2:N769,9)</f>
        <v>0</v>
      </c>
      <c r="E721">
        <f>VLOOKUP(O721,BulletType!A$2:N769,10)</f>
        <v>0</v>
      </c>
      <c r="F721" s="3" t="str">
        <f>CONCATENATE(VLOOKUP(O721,BulletType!A$2:I$35,8),VLOOKUP(P721,BulletColor!A$2:D$16,4))</f>
        <v>130</v>
      </c>
      <c r="G721" s="3">
        <f>VLOOKUP(O721,BulletType!A$1:G$35,7)</f>
        <v>0</v>
      </c>
      <c r="H721" s="2">
        <f>INT(Q721)</f>
        <v>1</v>
      </c>
      <c r="I721">
        <f>VLOOKUP(O721,BulletType!A$1:F$35,3)</f>
        <v>0</v>
      </c>
      <c r="J721">
        <f>VLOOKUP(O721,BulletType!A$1:F$35,4)</f>
        <v>0</v>
      </c>
      <c r="K721">
        <f>VLOOKUP(O721,BulletType!A$1:F$35,5)</f>
        <v>0</v>
      </c>
      <c r="L721">
        <f>VLOOKUP(O721,BulletType!A$1:F$35,5)</f>
        <v>0</v>
      </c>
      <c r="M721">
        <f>VLOOKUP(O721,BulletType!A$1:F$35,6)</f>
        <v>0</v>
      </c>
      <c r="N721" s="3" t="str">
        <f>VLOOKUP(P721,BulletColor!A$2:B744,2)</f>
        <v>0.8,0.8,0.8</v>
      </c>
      <c r="O721" s="2">
        <v>29</v>
      </c>
      <c r="P721" s="2">
        <v>15</v>
      </c>
      <c r="Q721" s="2">
        <f>MOD((ROW()-2),2)</f>
        <v>1</v>
      </c>
    </row>
    <row r="722" spans="1:17" x14ac:dyDescent="0.2">
      <c r="A722" s="1">
        <f t="shared" si="43"/>
        <v>130000</v>
      </c>
      <c r="B722" s="3" t="str">
        <f>VLOOKUP(O722,BulletType!A$1:F$35,2)&amp;VLOOKUP(P722,BulletColor!A$1:C$25,3)</f>
        <v>灰</v>
      </c>
      <c r="C722" s="3" t="str">
        <f>CONCATENATE("Bullet",INT(A722/10)*10)</f>
        <v>Bullet130000</v>
      </c>
      <c r="D722">
        <f>VLOOKUP(O722,BulletType!A$2:N770,9)</f>
        <v>0</v>
      </c>
      <c r="E722">
        <f>VLOOKUP(O722,BulletType!A$2:N770,10)</f>
        <v>0</v>
      </c>
      <c r="F722" s="3" t="str">
        <f>CONCATENATE(VLOOKUP(O722,BulletType!A$2:I$35,8),VLOOKUP(P722,BulletColor!A$2:D$16,4))</f>
        <v>000</v>
      </c>
      <c r="G722" s="3">
        <f>VLOOKUP(O722,BulletType!A$1:G$35,7)</f>
        <v>0</v>
      </c>
      <c r="H722" s="2">
        <f>INT(Q722)</f>
        <v>0</v>
      </c>
      <c r="I722">
        <f>VLOOKUP(O722,BulletType!A$1:F$35,3)</f>
        <v>0</v>
      </c>
      <c r="J722">
        <f>VLOOKUP(O722,BulletType!A$1:F$35,4)</f>
        <v>0</v>
      </c>
      <c r="K722">
        <f>VLOOKUP(O722,BulletType!A$1:F$35,5)</f>
        <v>0</v>
      </c>
      <c r="L722">
        <f>VLOOKUP(O722,BulletType!A$1:F$35,5)</f>
        <v>0</v>
      </c>
      <c r="M722">
        <f>VLOOKUP(O722,BulletType!A$1:F$35,6)</f>
        <v>0</v>
      </c>
      <c r="N722" s="3" t="str">
        <f>VLOOKUP(P722,BulletColor!A$2:B745,2)</f>
        <v>0.5,0.5,0.5</v>
      </c>
      <c r="O722" s="2">
        <v>30</v>
      </c>
      <c r="P722" s="2">
        <v>0</v>
      </c>
      <c r="Q722" s="2">
        <f>MOD((ROW()-2),2)</f>
        <v>0</v>
      </c>
    </row>
    <row r="723" spans="1:17" x14ac:dyDescent="0.2">
      <c r="A723" s="1">
        <f t="shared" si="43"/>
        <v>130001</v>
      </c>
      <c r="B723" s="3" t="str">
        <f>VLOOKUP(O723,BulletType!A$1:F$35,2)&amp;VLOOKUP(P723,BulletColor!A$1:C$25,3)</f>
        <v>灰</v>
      </c>
      <c r="C723" s="3" t="str">
        <f>CONCATENATE("Bullet",INT(A723/10)*10)</f>
        <v>Bullet130000</v>
      </c>
      <c r="D723">
        <f>VLOOKUP(O723,BulletType!A$2:N771,9)</f>
        <v>0</v>
      </c>
      <c r="E723">
        <f>VLOOKUP(O723,BulletType!A$2:N771,10)</f>
        <v>0</v>
      </c>
      <c r="F723" s="3" t="str">
        <f>CONCATENATE(VLOOKUP(O723,BulletType!A$2:I$35,8),VLOOKUP(P723,BulletColor!A$2:D$16,4))</f>
        <v>000</v>
      </c>
      <c r="G723" s="3">
        <f>VLOOKUP(O723,BulletType!A$1:G$35,7)</f>
        <v>0</v>
      </c>
      <c r="H723" s="2">
        <f>INT(Q723)</f>
        <v>1</v>
      </c>
      <c r="I723">
        <f>VLOOKUP(O723,BulletType!A$1:F$35,3)</f>
        <v>0</v>
      </c>
      <c r="J723">
        <f>VLOOKUP(O723,BulletType!A$1:F$35,4)</f>
        <v>0</v>
      </c>
      <c r="K723">
        <f>VLOOKUP(O723,BulletType!A$1:F$35,5)</f>
        <v>0</v>
      </c>
      <c r="L723">
        <f>VLOOKUP(O723,BulletType!A$1:F$35,5)</f>
        <v>0</v>
      </c>
      <c r="M723">
        <f>VLOOKUP(O723,BulletType!A$1:F$35,6)</f>
        <v>0</v>
      </c>
      <c r="N723" s="3" t="str">
        <f>VLOOKUP(P723,BulletColor!A$2:B746,2)</f>
        <v>0.5,0.5,0.5</v>
      </c>
      <c r="O723" s="2">
        <v>30</v>
      </c>
      <c r="P723" s="2">
        <v>0</v>
      </c>
      <c r="Q723" s="2">
        <f>MOD((ROW()-2),2)</f>
        <v>1</v>
      </c>
    </row>
    <row r="724" spans="1:17" x14ac:dyDescent="0.2">
      <c r="A724" s="1">
        <f t="shared" si="43"/>
        <v>130010</v>
      </c>
      <c r="B724" s="3" t="str">
        <f>VLOOKUP(O724,BulletType!A$1:F$35,2)&amp;VLOOKUP(P724,BulletColor!A$1:C$25,3)</f>
        <v>深红</v>
      </c>
      <c r="C724" s="3" t="str">
        <f>CONCATENATE("Bullet",INT(A724/10)*10)</f>
        <v>Bullet130010</v>
      </c>
      <c r="D724">
        <f>VLOOKUP(O724,BulletType!A$2:N772,9)</f>
        <v>0</v>
      </c>
      <c r="E724">
        <f>VLOOKUP(O724,BulletType!A$2:N772,10)</f>
        <v>0</v>
      </c>
      <c r="F724" s="3" t="str">
        <f>CONCATENATE(VLOOKUP(O724,BulletType!A$2:I$35,8),VLOOKUP(P724,BulletColor!A$2:D$16,4))</f>
        <v>010</v>
      </c>
      <c r="G724" s="3">
        <f>VLOOKUP(O724,BulletType!A$1:G$35,7)</f>
        <v>0</v>
      </c>
      <c r="H724" s="2">
        <f>INT(Q724)</f>
        <v>0</v>
      </c>
      <c r="I724">
        <f>VLOOKUP(O724,BulletType!A$1:F$35,3)</f>
        <v>0</v>
      </c>
      <c r="J724">
        <f>VLOOKUP(O724,BulletType!A$1:F$35,4)</f>
        <v>0</v>
      </c>
      <c r="K724">
        <f>VLOOKUP(O724,BulletType!A$1:F$35,5)</f>
        <v>0</v>
      </c>
      <c r="L724">
        <f>VLOOKUP(O724,BulletType!A$1:F$35,5)</f>
        <v>0</v>
      </c>
      <c r="M724">
        <f>VLOOKUP(O724,BulletType!A$1:F$35,6)</f>
        <v>0</v>
      </c>
      <c r="N724" s="3" t="str">
        <f>VLOOKUP(P724,BulletColor!A$2:B747,2)</f>
        <v>0.625,0.3,0.3</v>
      </c>
      <c r="O724" s="2">
        <v>30</v>
      </c>
      <c r="P724" s="2">
        <v>1</v>
      </c>
      <c r="Q724" s="2">
        <f>MOD((ROW()-2),2)</f>
        <v>0</v>
      </c>
    </row>
    <row r="725" spans="1:17" x14ac:dyDescent="0.2">
      <c r="A725" s="1">
        <f t="shared" si="43"/>
        <v>130011</v>
      </c>
      <c r="B725" s="3" t="str">
        <f>VLOOKUP(O725,BulletType!A$1:F$35,2)&amp;VLOOKUP(P725,BulletColor!A$1:C$25,3)</f>
        <v>深红</v>
      </c>
      <c r="C725" s="3" t="str">
        <f>CONCATENATE("Bullet",INT(A725/10)*10)</f>
        <v>Bullet130010</v>
      </c>
      <c r="D725">
        <f>VLOOKUP(O725,BulletType!A$2:N773,9)</f>
        <v>0</v>
      </c>
      <c r="E725">
        <f>VLOOKUP(O725,BulletType!A$2:N773,10)</f>
        <v>0</v>
      </c>
      <c r="F725" s="3" t="str">
        <f>CONCATENATE(VLOOKUP(O725,BulletType!A$2:I$35,8),VLOOKUP(P725,BulletColor!A$2:D$16,4))</f>
        <v>010</v>
      </c>
      <c r="G725" s="3">
        <f>VLOOKUP(O725,BulletType!A$1:G$35,7)</f>
        <v>0</v>
      </c>
      <c r="H725" s="2">
        <f>INT(Q725)</f>
        <v>1</v>
      </c>
      <c r="I725">
        <f>VLOOKUP(O725,BulletType!A$1:F$35,3)</f>
        <v>0</v>
      </c>
      <c r="J725">
        <f>VLOOKUP(O725,BulletType!A$1:F$35,4)</f>
        <v>0</v>
      </c>
      <c r="K725">
        <f>VLOOKUP(O725,BulletType!A$1:F$35,5)</f>
        <v>0</v>
      </c>
      <c r="L725">
        <f>VLOOKUP(O725,BulletType!A$1:F$35,5)</f>
        <v>0</v>
      </c>
      <c r="M725">
        <f>VLOOKUP(O725,BulletType!A$1:F$35,6)</f>
        <v>0</v>
      </c>
      <c r="N725" s="3" t="str">
        <f>VLOOKUP(P725,BulletColor!A$2:B748,2)</f>
        <v>0.625,0.3,0.3</v>
      </c>
      <c r="O725" s="2">
        <v>30</v>
      </c>
      <c r="P725" s="2">
        <v>1</v>
      </c>
      <c r="Q725" s="2">
        <f>MOD((ROW()-2),2)</f>
        <v>1</v>
      </c>
    </row>
    <row r="726" spans="1:17" x14ac:dyDescent="0.2">
      <c r="A726" s="1">
        <f t="shared" si="43"/>
        <v>130020</v>
      </c>
      <c r="B726" s="3" t="str">
        <f>VLOOKUP(O726,BulletType!A$1:F$35,2)&amp;VLOOKUP(P726,BulletColor!A$1:C$25,3)</f>
        <v>红</v>
      </c>
      <c r="C726" s="3" t="str">
        <f>CONCATENATE("Bullet",INT(A726/10)*10)</f>
        <v>Bullet130020</v>
      </c>
      <c r="D726">
        <f>VLOOKUP(O726,BulletType!A$2:N774,9)</f>
        <v>0</v>
      </c>
      <c r="E726">
        <f>VLOOKUP(O726,BulletType!A$2:N774,10)</f>
        <v>0</v>
      </c>
      <c r="F726" s="3" t="str">
        <f>CONCATENATE(VLOOKUP(O726,BulletType!A$2:I$35,8),VLOOKUP(P726,BulletColor!A$2:D$16,4))</f>
        <v>010</v>
      </c>
      <c r="G726" s="3">
        <f>VLOOKUP(O726,BulletType!A$1:G$35,7)</f>
        <v>0</v>
      </c>
      <c r="H726" s="2">
        <f>INT(Q726)</f>
        <v>0</v>
      </c>
      <c r="I726">
        <f>VLOOKUP(O726,BulletType!A$1:F$35,3)</f>
        <v>0</v>
      </c>
      <c r="J726">
        <f>VLOOKUP(O726,BulletType!A$1:F$35,4)</f>
        <v>0</v>
      </c>
      <c r="K726">
        <f>VLOOKUP(O726,BulletType!A$1:F$35,5)</f>
        <v>0</v>
      </c>
      <c r="L726">
        <f>VLOOKUP(O726,BulletType!A$1:F$35,5)</f>
        <v>0</v>
      </c>
      <c r="M726">
        <f>VLOOKUP(O726,BulletType!A$1:F$35,6)</f>
        <v>0</v>
      </c>
      <c r="N726" s="3" t="str">
        <f>VLOOKUP(P726,BulletColor!A$2:B749,2)</f>
        <v>0.8,0.3,0.3</v>
      </c>
      <c r="O726" s="2">
        <v>30</v>
      </c>
      <c r="P726" s="2">
        <v>2</v>
      </c>
      <c r="Q726" s="2">
        <f>MOD((ROW()-2),2)</f>
        <v>0</v>
      </c>
    </row>
    <row r="727" spans="1:17" x14ac:dyDescent="0.2">
      <c r="A727" s="1">
        <f t="shared" si="43"/>
        <v>130021</v>
      </c>
      <c r="B727" s="3" t="str">
        <f>VLOOKUP(O727,BulletType!A$1:F$35,2)&amp;VLOOKUP(P727,BulletColor!A$1:C$25,3)</f>
        <v>红</v>
      </c>
      <c r="C727" s="3" t="str">
        <f>CONCATENATE("Bullet",INT(A727/10)*10)</f>
        <v>Bullet130020</v>
      </c>
      <c r="D727">
        <f>VLOOKUP(O727,BulletType!A$2:N775,9)</f>
        <v>0</v>
      </c>
      <c r="E727">
        <f>VLOOKUP(O727,BulletType!A$2:N775,10)</f>
        <v>0</v>
      </c>
      <c r="F727" s="3" t="str">
        <f>CONCATENATE(VLOOKUP(O727,BulletType!A$2:I$35,8),VLOOKUP(P727,BulletColor!A$2:D$16,4))</f>
        <v>010</v>
      </c>
      <c r="G727" s="3">
        <f>VLOOKUP(O727,BulletType!A$1:G$35,7)</f>
        <v>0</v>
      </c>
      <c r="H727" s="2">
        <f>INT(Q727)</f>
        <v>1</v>
      </c>
      <c r="I727">
        <f>VLOOKUP(O727,BulletType!A$1:F$35,3)</f>
        <v>0</v>
      </c>
      <c r="J727">
        <f>VLOOKUP(O727,BulletType!A$1:F$35,4)</f>
        <v>0</v>
      </c>
      <c r="K727">
        <f>VLOOKUP(O727,BulletType!A$1:F$35,5)</f>
        <v>0</v>
      </c>
      <c r="L727">
        <f>VLOOKUP(O727,BulletType!A$1:F$35,5)</f>
        <v>0</v>
      </c>
      <c r="M727">
        <f>VLOOKUP(O727,BulletType!A$1:F$35,6)</f>
        <v>0</v>
      </c>
      <c r="N727" s="3" t="str">
        <f>VLOOKUP(P727,BulletColor!A$2:B750,2)</f>
        <v>0.8,0.3,0.3</v>
      </c>
      <c r="O727" s="2">
        <v>30</v>
      </c>
      <c r="P727" s="2">
        <v>2</v>
      </c>
      <c r="Q727" s="2">
        <f>MOD((ROW()-2),2)</f>
        <v>1</v>
      </c>
    </row>
    <row r="728" spans="1:17" x14ac:dyDescent="0.2">
      <c r="A728" s="1">
        <f t="shared" si="43"/>
        <v>130030</v>
      </c>
      <c r="B728" s="3" t="str">
        <f>VLOOKUP(O728,BulletType!A$1:F$35,2)&amp;VLOOKUP(P728,BulletColor!A$1:C$25,3)</f>
        <v>深紫</v>
      </c>
      <c r="C728" s="3" t="str">
        <f>CONCATENATE("Bullet",INT(A728/10)*10)</f>
        <v>Bullet130030</v>
      </c>
      <c r="D728">
        <f>VLOOKUP(O728,BulletType!A$2:N776,9)</f>
        <v>0</v>
      </c>
      <c r="E728">
        <f>VLOOKUP(O728,BulletType!A$2:N776,10)</f>
        <v>0</v>
      </c>
      <c r="F728" s="3" t="str">
        <f>CONCATENATE(VLOOKUP(O728,BulletType!A$2:I$35,8),VLOOKUP(P728,BulletColor!A$2:D$16,4))</f>
        <v>030</v>
      </c>
      <c r="G728" s="3">
        <f>VLOOKUP(O728,BulletType!A$1:G$35,7)</f>
        <v>0</v>
      </c>
      <c r="H728" s="2">
        <f>INT(Q728)</f>
        <v>0</v>
      </c>
      <c r="I728">
        <f>VLOOKUP(O728,BulletType!A$1:F$35,3)</f>
        <v>0</v>
      </c>
      <c r="J728">
        <f>VLOOKUP(O728,BulletType!A$1:F$35,4)</f>
        <v>0</v>
      </c>
      <c r="K728">
        <f>VLOOKUP(O728,BulletType!A$1:F$35,5)</f>
        <v>0</v>
      </c>
      <c r="L728">
        <f>VLOOKUP(O728,BulletType!A$1:F$35,5)</f>
        <v>0</v>
      </c>
      <c r="M728">
        <f>VLOOKUP(O728,BulletType!A$1:F$35,6)</f>
        <v>0</v>
      </c>
      <c r="N728" s="3" t="str">
        <f>VLOOKUP(P728,BulletColor!A$2:B751,2)</f>
        <v>1,0.65,1</v>
      </c>
      <c r="O728" s="2">
        <v>30</v>
      </c>
      <c r="P728" s="2">
        <v>3</v>
      </c>
      <c r="Q728" s="2">
        <f>MOD((ROW()-2),2)</f>
        <v>0</v>
      </c>
    </row>
    <row r="729" spans="1:17" x14ac:dyDescent="0.2">
      <c r="A729" s="1">
        <f t="shared" si="43"/>
        <v>130031</v>
      </c>
      <c r="B729" s="3" t="str">
        <f>VLOOKUP(O729,BulletType!A$1:F$35,2)&amp;VLOOKUP(P729,BulletColor!A$1:C$25,3)</f>
        <v>深紫</v>
      </c>
      <c r="C729" s="3" t="str">
        <f>CONCATENATE("Bullet",INT(A729/10)*10)</f>
        <v>Bullet130030</v>
      </c>
      <c r="D729">
        <f>VLOOKUP(O729,BulletType!A$2:N777,9)</f>
        <v>0</v>
      </c>
      <c r="E729">
        <f>VLOOKUP(O729,BulletType!A$2:N777,10)</f>
        <v>0</v>
      </c>
      <c r="F729" s="3" t="str">
        <f>CONCATENATE(VLOOKUP(O729,BulletType!A$2:I$35,8),VLOOKUP(P729,BulletColor!A$2:D$16,4))</f>
        <v>030</v>
      </c>
      <c r="G729" s="3">
        <f>VLOOKUP(O729,BulletType!A$1:G$35,7)</f>
        <v>0</v>
      </c>
      <c r="H729" s="2">
        <f>INT(Q729)</f>
        <v>1</v>
      </c>
      <c r="I729">
        <f>VLOOKUP(O729,BulletType!A$1:F$35,3)</f>
        <v>0</v>
      </c>
      <c r="J729">
        <f>VLOOKUP(O729,BulletType!A$1:F$35,4)</f>
        <v>0</v>
      </c>
      <c r="K729">
        <f>VLOOKUP(O729,BulletType!A$1:F$35,5)</f>
        <v>0</v>
      </c>
      <c r="L729">
        <f>VLOOKUP(O729,BulletType!A$1:F$35,5)</f>
        <v>0</v>
      </c>
      <c r="M729">
        <f>VLOOKUP(O729,BulletType!A$1:F$35,6)</f>
        <v>0</v>
      </c>
      <c r="N729" s="3" t="str">
        <f>VLOOKUP(P729,BulletColor!A$2:B752,2)</f>
        <v>1,0.65,1</v>
      </c>
      <c r="O729" s="2">
        <v>30</v>
      </c>
      <c r="P729" s="2">
        <v>3</v>
      </c>
      <c r="Q729" s="2">
        <f>MOD((ROW()-2),2)</f>
        <v>1</v>
      </c>
    </row>
    <row r="730" spans="1:17" x14ac:dyDescent="0.2">
      <c r="A730" s="1">
        <f t="shared" si="43"/>
        <v>130040</v>
      </c>
      <c r="B730" s="3" t="str">
        <f>VLOOKUP(O730,BulletType!A$1:F$35,2)&amp;VLOOKUP(P730,BulletColor!A$1:C$25,3)</f>
        <v>紫</v>
      </c>
      <c r="C730" s="3" t="str">
        <f>CONCATENATE("Bullet",INT(A730/10)*10)</f>
        <v>Bullet130040</v>
      </c>
      <c r="D730">
        <f>VLOOKUP(O730,BulletType!A$2:N778,9)</f>
        <v>0</v>
      </c>
      <c r="E730">
        <f>VLOOKUP(O730,BulletType!A$2:N778,10)</f>
        <v>0</v>
      </c>
      <c r="F730" s="3" t="str">
        <f>CONCATENATE(VLOOKUP(O730,BulletType!A$2:I$35,8),VLOOKUP(P730,BulletColor!A$2:D$16,4))</f>
        <v>030</v>
      </c>
      <c r="G730" s="3">
        <f>VLOOKUP(O730,BulletType!A$1:G$35,7)</f>
        <v>0</v>
      </c>
      <c r="H730" s="2">
        <f>INT(Q730)</f>
        <v>0</v>
      </c>
      <c r="I730">
        <f>VLOOKUP(O730,BulletType!A$1:F$35,3)</f>
        <v>0</v>
      </c>
      <c r="J730">
        <f>VLOOKUP(O730,BulletType!A$1:F$35,4)</f>
        <v>0</v>
      </c>
      <c r="K730">
        <f>VLOOKUP(O730,BulletType!A$1:F$35,5)</f>
        <v>0</v>
      </c>
      <c r="L730">
        <f>VLOOKUP(O730,BulletType!A$1:F$35,5)</f>
        <v>0</v>
      </c>
      <c r="M730">
        <f>VLOOKUP(O730,BulletType!A$1:F$35,6)</f>
        <v>0</v>
      </c>
      <c r="N730" s="3" t="str">
        <f>VLOOKUP(P730,BulletColor!A$2:B753,2)</f>
        <v>1,0.65,1</v>
      </c>
      <c r="O730" s="2">
        <v>30</v>
      </c>
      <c r="P730" s="2">
        <v>4</v>
      </c>
      <c r="Q730" s="2">
        <f>MOD((ROW()-2),2)</f>
        <v>0</v>
      </c>
    </row>
    <row r="731" spans="1:17" x14ac:dyDescent="0.2">
      <c r="A731" s="1">
        <f t="shared" si="43"/>
        <v>130041</v>
      </c>
      <c r="B731" s="3" t="str">
        <f>VLOOKUP(O731,BulletType!A$1:F$35,2)&amp;VLOOKUP(P731,BulletColor!A$1:C$25,3)</f>
        <v>紫</v>
      </c>
      <c r="C731" s="3" t="str">
        <f>CONCATENATE("Bullet",INT(A731/10)*10)</f>
        <v>Bullet130040</v>
      </c>
      <c r="D731">
        <f>VLOOKUP(O731,BulletType!A$2:N779,9)</f>
        <v>0</v>
      </c>
      <c r="E731">
        <f>VLOOKUP(O731,BulletType!A$2:N779,10)</f>
        <v>0</v>
      </c>
      <c r="F731" s="3" t="str">
        <f>CONCATENATE(VLOOKUP(O731,BulletType!A$2:I$35,8),VLOOKUP(P731,BulletColor!A$2:D$16,4))</f>
        <v>030</v>
      </c>
      <c r="G731" s="3">
        <f>VLOOKUP(O731,BulletType!A$1:G$35,7)</f>
        <v>0</v>
      </c>
      <c r="H731" s="2">
        <f>INT(Q731)</f>
        <v>1</v>
      </c>
      <c r="I731">
        <f>VLOOKUP(O731,BulletType!A$1:F$35,3)</f>
        <v>0</v>
      </c>
      <c r="J731">
        <f>VLOOKUP(O731,BulletType!A$1:F$35,4)</f>
        <v>0</v>
      </c>
      <c r="K731">
        <f>VLOOKUP(O731,BulletType!A$1:F$35,5)</f>
        <v>0</v>
      </c>
      <c r="L731">
        <f>VLOOKUP(O731,BulletType!A$1:F$35,5)</f>
        <v>0</v>
      </c>
      <c r="M731">
        <f>VLOOKUP(O731,BulletType!A$1:F$35,6)</f>
        <v>0</v>
      </c>
      <c r="N731" s="3" t="str">
        <f>VLOOKUP(P731,BulletColor!A$2:B754,2)</f>
        <v>1,0.65,1</v>
      </c>
      <c r="O731" s="2">
        <v>30</v>
      </c>
      <c r="P731" s="2">
        <v>4</v>
      </c>
      <c r="Q731" s="2">
        <f>MOD((ROW()-2),2)</f>
        <v>1</v>
      </c>
    </row>
    <row r="732" spans="1:17" x14ac:dyDescent="0.2">
      <c r="A732" s="1">
        <f t="shared" si="43"/>
        <v>130050</v>
      </c>
      <c r="B732" s="3" t="str">
        <f>VLOOKUP(O732,BulletType!A$1:F$35,2)&amp;VLOOKUP(P732,BulletColor!A$1:C$25,3)</f>
        <v>深蓝</v>
      </c>
      <c r="C732" s="3" t="str">
        <f>CONCATENATE("Bullet",INT(A732/10)*10)</f>
        <v>Bullet130050</v>
      </c>
      <c r="D732">
        <f>VLOOKUP(O732,BulletType!A$2:N780,9)</f>
        <v>0</v>
      </c>
      <c r="E732">
        <f>VLOOKUP(O732,BulletType!A$2:N780,10)</f>
        <v>0</v>
      </c>
      <c r="F732" s="3" t="str">
        <f>CONCATENATE(VLOOKUP(O732,BulletType!A$2:I$35,8),VLOOKUP(P732,BulletColor!A$2:D$16,4))</f>
        <v>050</v>
      </c>
      <c r="G732" s="3">
        <f>VLOOKUP(O732,BulletType!A$1:G$35,7)</f>
        <v>0</v>
      </c>
      <c r="H732" s="2">
        <f>INT(Q732)</f>
        <v>0</v>
      </c>
      <c r="I732">
        <f>VLOOKUP(O732,BulletType!A$1:F$35,3)</f>
        <v>0</v>
      </c>
      <c r="J732">
        <f>VLOOKUP(O732,BulletType!A$1:F$35,4)</f>
        <v>0</v>
      </c>
      <c r="K732">
        <f>VLOOKUP(O732,BulletType!A$1:F$35,5)</f>
        <v>0</v>
      </c>
      <c r="L732">
        <f>VLOOKUP(O732,BulletType!A$1:F$35,5)</f>
        <v>0</v>
      </c>
      <c r="M732">
        <f>VLOOKUP(O732,BulletType!A$1:F$35,6)</f>
        <v>0</v>
      </c>
      <c r="N732" s="3" t="str">
        <f>VLOOKUP(P732,BulletColor!A$2:B755,2)</f>
        <v>0,0.1,1</v>
      </c>
      <c r="O732" s="2">
        <v>30</v>
      </c>
      <c r="P732" s="2">
        <v>5</v>
      </c>
      <c r="Q732" s="2">
        <f>MOD((ROW()-2),2)</f>
        <v>0</v>
      </c>
    </row>
    <row r="733" spans="1:17" x14ac:dyDescent="0.2">
      <c r="A733" s="1">
        <f t="shared" si="43"/>
        <v>130051</v>
      </c>
      <c r="B733" s="3" t="str">
        <f>VLOOKUP(O733,BulletType!A$1:F$35,2)&amp;VLOOKUP(P733,BulletColor!A$1:C$25,3)</f>
        <v>深蓝</v>
      </c>
      <c r="C733" s="3" t="str">
        <f>CONCATENATE("Bullet",INT(A733/10)*10)</f>
        <v>Bullet130050</v>
      </c>
      <c r="D733">
        <f>VLOOKUP(O733,BulletType!A$2:N781,9)</f>
        <v>0</v>
      </c>
      <c r="E733">
        <f>VLOOKUP(O733,BulletType!A$2:N781,10)</f>
        <v>0</v>
      </c>
      <c r="F733" s="3" t="str">
        <f>CONCATENATE(VLOOKUP(O733,BulletType!A$2:I$35,8),VLOOKUP(P733,BulletColor!A$2:D$16,4))</f>
        <v>050</v>
      </c>
      <c r="G733" s="3">
        <f>VLOOKUP(O733,BulletType!A$1:G$35,7)</f>
        <v>0</v>
      </c>
      <c r="H733" s="2">
        <f>INT(Q733)</f>
        <v>1</v>
      </c>
      <c r="I733">
        <f>VLOOKUP(O733,BulletType!A$1:F$35,3)</f>
        <v>0</v>
      </c>
      <c r="J733">
        <f>VLOOKUP(O733,BulletType!A$1:F$35,4)</f>
        <v>0</v>
      </c>
      <c r="K733">
        <f>VLOOKUP(O733,BulletType!A$1:F$35,5)</f>
        <v>0</v>
      </c>
      <c r="L733">
        <f>VLOOKUP(O733,BulletType!A$1:F$35,5)</f>
        <v>0</v>
      </c>
      <c r="M733">
        <f>VLOOKUP(O733,BulletType!A$1:F$35,6)</f>
        <v>0</v>
      </c>
      <c r="N733" s="3" t="str">
        <f>VLOOKUP(P733,BulletColor!A$2:B756,2)</f>
        <v>0,0.1,1</v>
      </c>
      <c r="O733" s="2">
        <v>30</v>
      </c>
      <c r="P733" s="2">
        <v>5</v>
      </c>
      <c r="Q733" s="2">
        <f>MOD((ROW()-2),2)</f>
        <v>1</v>
      </c>
    </row>
    <row r="734" spans="1:17" x14ac:dyDescent="0.2">
      <c r="A734" s="1">
        <f t="shared" si="43"/>
        <v>130060</v>
      </c>
      <c r="B734" s="3" t="str">
        <f>VLOOKUP(O734,BulletType!A$1:F$35,2)&amp;VLOOKUP(P734,BulletColor!A$1:C$25,3)</f>
        <v>蓝</v>
      </c>
      <c r="C734" s="3" t="str">
        <f>CONCATENATE("Bullet",INT(A734/10)*10)</f>
        <v>Bullet130060</v>
      </c>
      <c r="D734">
        <f>VLOOKUP(O734,BulletType!A$2:N782,9)</f>
        <v>0</v>
      </c>
      <c r="E734">
        <f>VLOOKUP(O734,BulletType!A$2:N782,10)</f>
        <v>0</v>
      </c>
      <c r="F734" s="3" t="str">
        <f>CONCATENATE(VLOOKUP(O734,BulletType!A$2:I$35,8),VLOOKUP(P734,BulletColor!A$2:D$16,4))</f>
        <v>050</v>
      </c>
      <c r="G734" s="3">
        <f>VLOOKUP(O734,BulletType!A$1:G$35,7)</f>
        <v>0</v>
      </c>
      <c r="H734" s="2">
        <f>INT(Q734)</f>
        <v>0</v>
      </c>
      <c r="I734">
        <f>VLOOKUP(O734,BulletType!A$1:F$35,3)</f>
        <v>0</v>
      </c>
      <c r="J734">
        <f>VLOOKUP(O734,BulletType!A$1:F$35,4)</f>
        <v>0</v>
      </c>
      <c r="K734">
        <f>VLOOKUP(O734,BulletType!A$1:F$35,5)</f>
        <v>0</v>
      </c>
      <c r="L734">
        <f>VLOOKUP(O734,BulletType!A$1:F$35,5)</f>
        <v>0</v>
      </c>
      <c r="M734">
        <f>VLOOKUP(O734,BulletType!A$1:F$35,6)</f>
        <v>0</v>
      </c>
      <c r="N734" s="3" t="str">
        <f>VLOOKUP(P734,BulletColor!A$2:B757,2)</f>
        <v>0,0.1,1</v>
      </c>
      <c r="O734" s="2">
        <v>30</v>
      </c>
      <c r="P734" s="2">
        <v>6</v>
      </c>
      <c r="Q734" s="2">
        <f>MOD((ROW()-2),2)</f>
        <v>0</v>
      </c>
    </row>
    <row r="735" spans="1:17" x14ac:dyDescent="0.2">
      <c r="A735" s="1">
        <f t="shared" si="43"/>
        <v>130061</v>
      </c>
      <c r="B735" s="3" t="str">
        <f>VLOOKUP(O735,BulletType!A$1:F$35,2)&amp;VLOOKUP(P735,BulletColor!A$1:C$25,3)</f>
        <v>蓝</v>
      </c>
      <c r="C735" s="3" t="str">
        <f>CONCATENATE("Bullet",INT(A735/10)*10)</f>
        <v>Bullet130060</v>
      </c>
      <c r="D735">
        <f>VLOOKUP(O735,BulletType!A$2:N783,9)</f>
        <v>0</v>
      </c>
      <c r="E735">
        <f>VLOOKUP(O735,BulletType!A$2:N783,10)</f>
        <v>0</v>
      </c>
      <c r="F735" s="3" t="str">
        <f>CONCATENATE(VLOOKUP(O735,BulletType!A$2:I$35,8),VLOOKUP(P735,BulletColor!A$2:D$16,4))</f>
        <v>050</v>
      </c>
      <c r="G735" s="3">
        <f>VLOOKUP(O735,BulletType!A$1:G$35,7)</f>
        <v>0</v>
      </c>
      <c r="H735" s="2">
        <f>INT(Q735)</f>
        <v>1</v>
      </c>
      <c r="I735">
        <f>VLOOKUP(O735,BulletType!A$1:F$35,3)</f>
        <v>0</v>
      </c>
      <c r="J735">
        <f>VLOOKUP(O735,BulletType!A$1:F$35,4)</f>
        <v>0</v>
      </c>
      <c r="K735">
        <f>VLOOKUP(O735,BulletType!A$1:F$35,5)</f>
        <v>0</v>
      </c>
      <c r="L735">
        <f>VLOOKUP(O735,BulletType!A$1:F$35,5)</f>
        <v>0</v>
      </c>
      <c r="M735">
        <f>VLOOKUP(O735,BulletType!A$1:F$35,6)</f>
        <v>0</v>
      </c>
      <c r="N735" s="3" t="str">
        <f>VLOOKUP(P735,BulletColor!A$2:B758,2)</f>
        <v>0,0.1,1</v>
      </c>
      <c r="O735" s="2">
        <v>30</v>
      </c>
      <c r="P735" s="2">
        <v>6</v>
      </c>
      <c r="Q735" s="2">
        <f>MOD((ROW()-2),2)</f>
        <v>1</v>
      </c>
    </row>
    <row r="736" spans="1:17" x14ac:dyDescent="0.2">
      <c r="A736" s="1">
        <f t="shared" si="43"/>
        <v>130070</v>
      </c>
      <c r="B736" s="3" t="str">
        <f>VLOOKUP(O736,BulletType!A$1:F$35,2)&amp;VLOOKUP(P736,BulletColor!A$1:C$25,3)</f>
        <v>深青</v>
      </c>
      <c r="C736" s="3" t="str">
        <f>CONCATENATE("Bullet",INT(A736/10)*10)</f>
        <v>Bullet130070</v>
      </c>
      <c r="D736">
        <f>VLOOKUP(O736,BulletType!A$2:N784,9)</f>
        <v>0</v>
      </c>
      <c r="E736">
        <f>VLOOKUP(O736,BulletType!A$2:N784,10)</f>
        <v>0</v>
      </c>
      <c r="F736" s="3" t="str">
        <f>CONCATENATE(VLOOKUP(O736,BulletType!A$2:I$35,8),VLOOKUP(P736,BulletColor!A$2:D$16,4))</f>
        <v>070</v>
      </c>
      <c r="G736" s="3">
        <f>VLOOKUP(O736,BulletType!A$1:G$35,7)</f>
        <v>0</v>
      </c>
      <c r="H736" s="2">
        <f>INT(Q736)</f>
        <v>0</v>
      </c>
      <c r="I736">
        <f>VLOOKUP(O736,BulletType!A$1:F$35,3)</f>
        <v>0</v>
      </c>
      <c r="J736">
        <f>VLOOKUP(O736,BulletType!A$1:F$35,4)</f>
        <v>0</v>
      </c>
      <c r="K736">
        <f>VLOOKUP(O736,BulletType!A$1:F$35,5)</f>
        <v>0</v>
      </c>
      <c r="L736">
        <f>VLOOKUP(O736,BulletType!A$1:F$35,5)</f>
        <v>0</v>
      </c>
      <c r="M736">
        <f>VLOOKUP(O736,BulletType!A$1:F$35,6)</f>
        <v>0</v>
      </c>
      <c r="N736" s="3" t="str">
        <f>VLOOKUP(P736,BulletColor!A$2:B759,2)</f>
        <v>0.25,1,1</v>
      </c>
      <c r="O736" s="2">
        <v>30</v>
      </c>
      <c r="P736" s="2">
        <v>7</v>
      </c>
      <c r="Q736" s="2">
        <f>MOD((ROW()-2),2)</f>
        <v>0</v>
      </c>
    </row>
    <row r="737" spans="1:17" x14ac:dyDescent="0.2">
      <c r="A737" s="1">
        <f t="shared" si="43"/>
        <v>130071</v>
      </c>
      <c r="B737" s="3" t="str">
        <f>VLOOKUP(O737,BulletType!A$1:F$35,2)&amp;VLOOKUP(P737,BulletColor!A$1:C$25,3)</f>
        <v>深青</v>
      </c>
      <c r="C737" s="3" t="str">
        <f>CONCATENATE("Bullet",INT(A737/10)*10)</f>
        <v>Bullet130070</v>
      </c>
      <c r="D737">
        <f>VLOOKUP(O737,BulletType!A$2:N785,9)</f>
        <v>0</v>
      </c>
      <c r="E737">
        <f>VLOOKUP(O737,BulletType!A$2:N785,10)</f>
        <v>0</v>
      </c>
      <c r="F737" s="3" t="str">
        <f>CONCATENATE(VLOOKUP(O737,BulletType!A$2:I$35,8),VLOOKUP(P737,BulletColor!A$2:D$16,4))</f>
        <v>070</v>
      </c>
      <c r="G737" s="3">
        <f>VLOOKUP(O737,BulletType!A$1:G$35,7)</f>
        <v>0</v>
      </c>
      <c r="H737" s="2">
        <f>INT(Q737)</f>
        <v>1</v>
      </c>
      <c r="I737">
        <f>VLOOKUP(O737,BulletType!A$1:F$35,3)</f>
        <v>0</v>
      </c>
      <c r="J737">
        <f>VLOOKUP(O737,BulletType!A$1:F$35,4)</f>
        <v>0</v>
      </c>
      <c r="K737">
        <f>VLOOKUP(O737,BulletType!A$1:F$35,5)</f>
        <v>0</v>
      </c>
      <c r="L737">
        <f>VLOOKUP(O737,BulletType!A$1:F$35,5)</f>
        <v>0</v>
      </c>
      <c r="M737">
        <f>VLOOKUP(O737,BulletType!A$1:F$35,6)</f>
        <v>0</v>
      </c>
      <c r="N737" s="3" t="str">
        <f>VLOOKUP(P737,BulletColor!A$2:B760,2)</f>
        <v>0.25,1,1</v>
      </c>
      <c r="O737" s="2">
        <v>30</v>
      </c>
      <c r="P737" s="2">
        <v>7</v>
      </c>
      <c r="Q737" s="2">
        <f>MOD((ROW()-2),2)</f>
        <v>1</v>
      </c>
    </row>
    <row r="738" spans="1:17" x14ac:dyDescent="0.2">
      <c r="A738" s="1">
        <f t="shared" si="43"/>
        <v>130080</v>
      </c>
      <c r="B738" s="3" t="str">
        <f>VLOOKUP(O738,BulletType!A$1:F$35,2)&amp;VLOOKUP(P738,BulletColor!A$1:C$25,3)</f>
        <v>青</v>
      </c>
      <c r="C738" s="3" t="str">
        <f>CONCATENATE("Bullet",INT(A738/10)*10)</f>
        <v>Bullet130080</v>
      </c>
      <c r="D738">
        <f>VLOOKUP(O738,BulletType!A$2:N786,9)</f>
        <v>0</v>
      </c>
      <c r="E738">
        <f>VLOOKUP(O738,BulletType!A$2:N786,10)</f>
        <v>0</v>
      </c>
      <c r="F738" s="3" t="str">
        <f>CONCATENATE(VLOOKUP(O738,BulletType!A$2:I$35,8),VLOOKUP(P738,BulletColor!A$2:D$16,4))</f>
        <v>070</v>
      </c>
      <c r="G738" s="3">
        <f>VLOOKUP(O738,BulletType!A$1:G$35,7)</f>
        <v>0</v>
      </c>
      <c r="H738" s="2">
        <f>INT(Q738)</f>
        <v>0</v>
      </c>
      <c r="I738">
        <f>VLOOKUP(O738,BulletType!A$1:F$35,3)</f>
        <v>0</v>
      </c>
      <c r="J738">
        <f>VLOOKUP(O738,BulletType!A$1:F$35,4)</f>
        <v>0</v>
      </c>
      <c r="K738">
        <f>VLOOKUP(O738,BulletType!A$1:F$35,5)</f>
        <v>0</v>
      </c>
      <c r="L738">
        <f>VLOOKUP(O738,BulletType!A$1:F$35,5)</f>
        <v>0</v>
      </c>
      <c r="M738">
        <f>VLOOKUP(O738,BulletType!A$1:F$35,6)</f>
        <v>0</v>
      </c>
      <c r="N738" s="3" t="str">
        <f>VLOOKUP(P738,BulletColor!A$2:B761,2)</f>
        <v>0.25,1,1</v>
      </c>
      <c r="O738" s="2">
        <v>30</v>
      </c>
      <c r="P738" s="2">
        <v>8</v>
      </c>
      <c r="Q738" s="2">
        <f>MOD((ROW()-2),2)</f>
        <v>0</v>
      </c>
    </row>
    <row r="739" spans="1:17" x14ac:dyDescent="0.2">
      <c r="A739" s="1">
        <f t="shared" si="43"/>
        <v>130081</v>
      </c>
      <c r="B739" s="3" t="str">
        <f>VLOOKUP(O739,BulletType!A$1:F$35,2)&amp;VLOOKUP(P739,BulletColor!A$1:C$25,3)</f>
        <v>青</v>
      </c>
      <c r="C739" s="3" t="str">
        <f>CONCATENATE("Bullet",INT(A739/10)*10)</f>
        <v>Bullet130080</v>
      </c>
      <c r="D739">
        <f>VLOOKUP(O739,BulletType!A$2:N787,9)</f>
        <v>0</v>
      </c>
      <c r="E739">
        <f>VLOOKUP(O739,BulletType!A$2:N787,10)</f>
        <v>0</v>
      </c>
      <c r="F739" s="3" t="str">
        <f>CONCATENATE(VLOOKUP(O739,BulletType!A$2:I$35,8),VLOOKUP(P739,BulletColor!A$2:D$16,4))</f>
        <v>070</v>
      </c>
      <c r="G739" s="3">
        <f>VLOOKUP(O739,BulletType!A$1:G$35,7)</f>
        <v>0</v>
      </c>
      <c r="H739" s="2">
        <f>INT(Q739)</f>
        <v>1</v>
      </c>
      <c r="I739">
        <f>VLOOKUP(O739,BulletType!A$1:F$35,3)</f>
        <v>0</v>
      </c>
      <c r="J739">
        <f>VLOOKUP(O739,BulletType!A$1:F$35,4)</f>
        <v>0</v>
      </c>
      <c r="K739">
        <f>VLOOKUP(O739,BulletType!A$1:F$35,5)</f>
        <v>0</v>
      </c>
      <c r="L739">
        <f>VLOOKUP(O739,BulletType!A$1:F$35,5)</f>
        <v>0</v>
      </c>
      <c r="M739">
        <f>VLOOKUP(O739,BulletType!A$1:F$35,6)</f>
        <v>0</v>
      </c>
      <c r="N739" s="3" t="str">
        <f>VLOOKUP(P739,BulletColor!A$2:B762,2)</f>
        <v>0.25,1,1</v>
      </c>
      <c r="O739" s="2">
        <v>30</v>
      </c>
      <c r="P739" s="2">
        <v>8</v>
      </c>
      <c r="Q739" s="2">
        <f>MOD((ROW()-2),2)</f>
        <v>1</v>
      </c>
    </row>
    <row r="740" spans="1:17" x14ac:dyDescent="0.2">
      <c r="A740" s="1">
        <f t="shared" si="43"/>
        <v>130090</v>
      </c>
      <c r="B740" s="3" t="str">
        <f>VLOOKUP(O740,BulletType!A$1:F$35,2)&amp;VLOOKUP(P740,BulletColor!A$1:C$25,3)</f>
        <v>深绿</v>
      </c>
      <c r="C740" s="3" t="str">
        <f>CONCATENATE("Bullet",INT(A740/10)*10)</f>
        <v>Bullet130090</v>
      </c>
      <c r="D740">
        <f>VLOOKUP(O740,BulletType!A$2:N788,9)</f>
        <v>0</v>
      </c>
      <c r="E740">
        <f>VLOOKUP(O740,BulletType!A$2:N788,10)</f>
        <v>0</v>
      </c>
      <c r="F740" s="3" t="str">
        <f>CONCATENATE(VLOOKUP(O740,BulletType!A$2:I$35,8),VLOOKUP(P740,BulletColor!A$2:D$16,4))</f>
        <v>090</v>
      </c>
      <c r="G740" s="3">
        <f>VLOOKUP(O740,BulletType!A$1:G$35,7)</f>
        <v>0</v>
      </c>
      <c r="H740" s="2">
        <f>INT(Q740)</f>
        <v>0</v>
      </c>
      <c r="I740">
        <f>VLOOKUP(O740,BulletType!A$1:F$35,3)</f>
        <v>0</v>
      </c>
      <c r="J740">
        <f>VLOOKUP(O740,BulletType!A$1:F$35,4)</f>
        <v>0</v>
      </c>
      <c r="K740">
        <f>VLOOKUP(O740,BulletType!A$1:F$35,5)</f>
        <v>0</v>
      </c>
      <c r="L740">
        <f>VLOOKUP(O740,BulletType!A$1:F$35,5)</f>
        <v>0</v>
      </c>
      <c r="M740">
        <f>VLOOKUP(O740,BulletType!A$1:F$35,6)</f>
        <v>0</v>
      </c>
      <c r="N740" s="3" t="str">
        <f>VLOOKUP(P740,BulletColor!A$2:B763,2)</f>
        <v>0.36,0.78,1</v>
      </c>
      <c r="O740" s="2">
        <v>30</v>
      </c>
      <c r="P740" s="2">
        <v>9</v>
      </c>
      <c r="Q740" s="2">
        <f>MOD((ROW()-2),2)</f>
        <v>0</v>
      </c>
    </row>
    <row r="741" spans="1:17" x14ac:dyDescent="0.2">
      <c r="A741" s="1">
        <f t="shared" si="43"/>
        <v>130091</v>
      </c>
      <c r="B741" s="3" t="str">
        <f>VLOOKUP(O741,BulletType!A$1:F$35,2)&amp;VLOOKUP(P741,BulletColor!A$1:C$25,3)</f>
        <v>深绿</v>
      </c>
      <c r="C741" s="3" t="str">
        <f>CONCATENATE("Bullet",INT(A741/10)*10)</f>
        <v>Bullet130090</v>
      </c>
      <c r="D741">
        <f>VLOOKUP(O741,BulletType!A$2:N789,9)</f>
        <v>0</v>
      </c>
      <c r="E741">
        <f>VLOOKUP(O741,BulletType!A$2:N789,10)</f>
        <v>0</v>
      </c>
      <c r="F741" s="3" t="str">
        <f>CONCATENATE(VLOOKUP(O741,BulletType!A$2:I$35,8),VLOOKUP(P741,BulletColor!A$2:D$16,4))</f>
        <v>090</v>
      </c>
      <c r="G741" s="3">
        <f>VLOOKUP(O741,BulletType!A$1:G$35,7)</f>
        <v>0</v>
      </c>
      <c r="H741" s="2">
        <f>INT(Q741)</f>
        <v>1</v>
      </c>
      <c r="I741">
        <f>VLOOKUP(O741,BulletType!A$1:F$35,3)</f>
        <v>0</v>
      </c>
      <c r="J741">
        <f>VLOOKUP(O741,BulletType!A$1:F$35,4)</f>
        <v>0</v>
      </c>
      <c r="K741">
        <f>VLOOKUP(O741,BulletType!A$1:F$35,5)</f>
        <v>0</v>
      </c>
      <c r="L741">
        <f>VLOOKUP(O741,BulletType!A$1:F$35,5)</f>
        <v>0</v>
      </c>
      <c r="M741">
        <f>VLOOKUP(O741,BulletType!A$1:F$35,6)</f>
        <v>0</v>
      </c>
      <c r="N741" s="3" t="str">
        <f>VLOOKUP(P741,BulletColor!A$2:B764,2)</f>
        <v>0.36,0.78,1</v>
      </c>
      <c r="O741" s="2">
        <v>30</v>
      </c>
      <c r="P741" s="2">
        <v>9</v>
      </c>
      <c r="Q741" s="2">
        <f>MOD((ROW()-2),2)</f>
        <v>1</v>
      </c>
    </row>
    <row r="742" spans="1:17" x14ac:dyDescent="0.2">
      <c r="A742" s="1">
        <f t="shared" si="43"/>
        <v>130100</v>
      </c>
      <c r="B742" s="3" t="str">
        <f>VLOOKUP(O742,BulletType!A$1:F$35,2)&amp;VLOOKUP(P742,BulletColor!A$1:C$25,3)</f>
        <v>绿</v>
      </c>
      <c r="C742" s="3" t="str">
        <f>CONCATENATE("Bullet",INT(A742/10)*10)</f>
        <v>Bullet130100</v>
      </c>
      <c r="D742">
        <f>VLOOKUP(O742,BulletType!A$2:N790,9)</f>
        <v>0</v>
      </c>
      <c r="E742">
        <f>VLOOKUP(O742,BulletType!A$2:N790,10)</f>
        <v>0</v>
      </c>
      <c r="F742" s="3" t="str">
        <f>CONCATENATE(VLOOKUP(O742,BulletType!A$2:I$35,8),VLOOKUP(P742,BulletColor!A$2:D$16,4))</f>
        <v>090</v>
      </c>
      <c r="G742" s="3">
        <f>VLOOKUP(O742,BulletType!A$1:G$35,7)</f>
        <v>0</v>
      </c>
      <c r="H742" s="2">
        <f>INT(Q742)</f>
        <v>0</v>
      </c>
      <c r="I742">
        <f>VLOOKUP(O742,BulletType!A$1:F$35,3)</f>
        <v>0</v>
      </c>
      <c r="J742">
        <f>VLOOKUP(O742,BulletType!A$1:F$35,4)</f>
        <v>0</v>
      </c>
      <c r="K742">
        <f>VLOOKUP(O742,BulletType!A$1:F$35,5)</f>
        <v>0</v>
      </c>
      <c r="L742">
        <f>VLOOKUP(O742,BulletType!A$1:F$35,5)</f>
        <v>0</v>
      </c>
      <c r="M742">
        <f>VLOOKUP(O742,BulletType!A$1:F$35,6)</f>
        <v>0</v>
      </c>
      <c r="N742" s="3" t="str">
        <f>VLOOKUP(P742,BulletColor!A$2:B765,2)</f>
        <v>0.36,0.78,1</v>
      </c>
      <c r="O742" s="2">
        <v>30</v>
      </c>
      <c r="P742" s="2">
        <v>10</v>
      </c>
      <c r="Q742" s="2">
        <f>MOD((ROW()-2),2)</f>
        <v>0</v>
      </c>
    </row>
    <row r="743" spans="1:17" x14ac:dyDescent="0.2">
      <c r="A743" s="1">
        <f t="shared" si="43"/>
        <v>130101</v>
      </c>
      <c r="B743" s="3" t="str">
        <f>VLOOKUP(O743,BulletType!A$1:F$35,2)&amp;VLOOKUP(P743,BulletColor!A$1:C$25,3)</f>
        <v>绿</v>
      </c>
      <c r="C743" s="3" t="str">
        <f>CONCATENATE("Bullet",INT(A743/10)*10)</f>
        <v>Bullet130100</v>
      </c>
      <c r="D743">
        <f>VLOOKUP(O743,BulletType!A$2:N791,9)</f>
        <v>0</v>
      </c>
      <c r="E743">
        <f>VLOOKUP(O743,BulletType!A$2:N791,10)</f>
        <v>0</v>
      </c>
      <c r="F743" s="3" t="str">
        <f>CONCATENATE(VLOOKUP(O743,BulletType!A$2:I$35,8),VLOOKUP(P743,BulletColor!A$2:D$16,4))</f>
        <v>090</v>
      </c>
      <c r="G743" s="3">
        <f>VLOOKUP(O743,BulletType!A$1:G$35,7)</f>
        <v>0</v>
      </c>
      <c r="H743" s="2">
        <f>INT(Q743)</f>
        <v>1</v>
      </c>
      <c r="I743">
        <f>VLOOKUP(O743,BulletType!A$1:F$35,3)</f>
        <v>0</v>
      </c>
      <c r="J743">
        <f>VLOOKUP(O743,BulletType!A$1:F$35,4)</f>
        <v>0</v>
      </c>
      <c r="K743">
        <f>VLOOKUP(O743,BulletType!A$1:F$35,5)</f>
        <v>0</v>
      </c>
      <c r="L743">
        <f>VLOOKUP(O743,BulletType!A$1:F$35,5)</f>
        <v>0</v>
      </c>
      <c r="M743">
        <f>VLOOKUP(O743,BulletType!A$1:F$35,6)</f>
        <v>0</v>
      </c>
      <c r="N743" s="3" t="str">
        <f>VLOOKUP(P743,BulletColor!A$2:B766,2)</f>
        <v>0.36,0.78,1</v>
      </c>
      <c r="O743" s="2">
        <v>30</v>
      </c>
      <c r="P743" s="2">
        <v>10</v>
      </c>
      <c r="Q743" s="2">
        <f>MOD((ROW()-2),2)</f>
        <v>1</v>
      </c>
    </row>
    <row r="744" spans="1:17" x14ac:dyDescent="0.2">
      <c r="A744" s="1">
        <f t="shared" si="43"/>
        <v>130110</v>
      </c>
      <c r="B744" s="3" t="str">
        <f>VLOOKUP(O744,BulletType!A$1:F$35,2)&amp;VLOOKUP(P744,BulletColor!A$1:C$25,3)</f>
        <v>黄绿</v>
      </c>
      <c r="C744" s="3" t="str">
        <f>CONCATENATE("Bullet",INT(A744/10)*10)</f>
        <v>Bullet130110</v>
      </c>
      <c r="D744">
        <f>VLOOKUP(O744,BulletType!A$2:N792,9)</f>
        <v>0</v>
      </c>
      <c r="E744">
        <f>VLOOKUP(O744,BulletType!A$2:N792,10)</f>
        <v>0</v>
      </c>
      <c r="F744" s="3" t="str">
        <f>CONCATENATE(VLOOKUP(O744,BulletType!A$2:I$35,8),VLOOKUP(P744,BulletColor!A$2:D$16,4))</f>
        <v>090</v>
      </c>
      <c r="G744" s="3">
        <f>VLOOKUP(O744,BulletType!A$1:G$35,7)</f>
        <v>0</v>
      </c>
      <c r="H744" s="2">
        <f>INT(Q744)</f>
        <v>0</v>
      </c>
      <c r="I744">
        <f>VLOOKUP(O744,BulletType!A$1:F$35,3)</f>
        <v>0</v>
      </c>
      <c r="J744">
        <f>VLOOKUP(O744,BulletType!A$1:F$35,4)</f>
        <v>0</v>
      </c>
      <c r="K744">
        <f>VLOOKUP(O744,BulletType!A$1:F$35,5)</f>
        <v>0</v>
      </c>
      <c r="L744">
        <f>VLOOKUP(O744,BulletType!A$1:F$35,5)</f>
        <v>0</v>
      </c>
      <c r="M744">
        <f>VLOOKUP(O744,BulletType!A$1:F$35,6)</f>
        <v>0</v>
      </c>
      <c r="N744" s="3" t="str">
        <f>VLOOKUP(P744,BulletColor!A$2:B767,2)</f>
        <v>0.9,1,0.4</v>
      </c>
      <c r="O744" s="2">
        <v>30</v>
      </c>
      <c r="P744" s="2">
        <v>11</v>
      </c>
      <c r="Q744" s="2">
        <f>MOD((ROW()-2),2)</f>
        <v>0</v>
      </c>
    </row>
    <row r="745" spans="1:17" x14ac:dyDescent="0.2">
      <c r="A745" s="1">
        <f t="shared" si="43"/>
        <v>130111</v>
      </c>
      <c r="B745" s="3" t="str">
        <f>VLOOKUP(O745,BulletType!A$1:F$35,2)&amp;VLOOKUP(P745,BulletColor!A$1:C$25,3)</f>
        <v>黄绿</v>
      </c>
      <c r="C745" s="3" t="str">
        <f>CONCATENATE("Bullet",INT(A745/10)*10)</f>
        <v>Bullet130110</v>
      </c>
      <c r="D745">
        <f>VLOOKUP(O745,BulletType!A$2:N793,9)</f>
        <v>0</v>
      </c>
      <c r="E745">
        <f>VLOOKUP(O745,BulletType!A$2:N793,10)</f>
        <v>0</v>
      </c>
      <c r="F745" s="3" t="str">
        <f>CONCATENATE(VLOOKUP(O745,BulletType!A$2:I$35,8),VLOOKUP(P745,BulletColor!A$2:D$16,4))</f>
        <v>090</v>
      </c>
      <c r="G745" s="3">
        <f>VLOOKUP(O745,BulletType!A$1:G$35,7)</f>
        <v>0</v>
      </c>
      <c r="H745" s="2">
        <f>INT(Q745)</f>
        <v>1</v>
      </c>
      <c r="I745">
        <f>VLOOKUP(O745,BulletType!A$1:F$35,3)</f>
        <v>0</v>
      </c>
      <c r="J745">
        <f>VLOOKUP(O745,BulletType!A$1:F$35,4)</f>
        <v>0</v>
      </c>
      <c r="K745">
        <f>VLOOKUP(O745,BulletType!A$1:F$35,5)</f>
        <v>0</v>
      </c>
      <c r="L745">
        <f>VLOOKUP(O745,BulletType!A$1:F$35,5)</f>
        <v>0</v>
      </c>
      <c r="M745">
        <f>VLOOKUP(O745,BulletType!A$1:F$35,6)</f>
        <v>0</v>
      </c>
      <c r="N745" s="3" t="str">
        <f>VLOOKUP(P745,BulletColor!A$2:B768,2)</f>
        <v>0.9,1,0.4</v>
      </c>
      <c r="O745" s="2">
        <v>30</v>
      </c>
      <c r="P745" s="2">
        <v>11</v>
      </c>
      <c r="Q745" s="2">
        <f>MOD((ROW()-2),2)</f>
        <v>1</v>
      </c>
    </row>
    <row r="746" spans="1:17" x14ac:dyDescent="0.2">
      <c r="A746" s="1">
        <f t="shared" si="43"/>
        <v>130120</v>
      </c>
      <c r="B746" s="3" t="str">
        <f>VLOOKUP(O746,BulletType!A$1:F$35,2)&amp;VLOOKUP(P746,BulletColor!A$1:C$25,3)</f>
        <v>深黄</v>
      </c>
      <c r="C746" s="3" t="str">
        <f>CONCATENATE("Bullet",INT(A746/10)*10)</f>
        <v>Bullet130120</v>
      </c>
      <c r="D746">
        <f>VLOOKUP(O746,BulletType!A$2:N794,9)</f>
        <v>0</v>
      </c>
      <c r="E746">
        <f>VLOOKUP(O746,BulletType!A$2:N794,10)</f>
        <v>0</v>
      </c>
      <c r="F746" s="3" t="str">
        <f>CONCATENATE(VLOOKUP(O746,BulletType!A$2:I$35,8),VLOOKUP(P746,BulletColor!A$2:D$16,4))</f>
        <v>090</v>
      </c>
      <c r="G746" s="3">
        <f>VLOOKUP(O746,BulletType!A$1:G$35,7)</f>
        <v>0</v>
      </c>
      <c r="H746" s="2">
        <f>INT(Q746)</f>
        <v>0</v>
      </c>
      <c r="I746">
        <f>VLOOKUP(O746,BulletType!A$1:F$35,3)</f>
        <v>0</v>
      </c>
      <c r="J746">
        <f>VLOOKUP(O746,BulletType!A$1:F$35,4)</f>
        <v>0</v>
      </c>
      <c r="K746">
        <f>VLOOKUP(O746,BulletType!A$1:F$35,5)</f>
        <v>0</v>
      </c>
      <c r="L746">
        <f>VLOOKUP(O746,BulletType!A$1:F$35,5)</f>
        <v>0</v>
      </c>
      <c r="M746">
        <f>VLOOKUP(O746,BulletType!A$1:F$35,6)</f>
        <v>0</v>
      </c>
      <c r="N746" s="3" t="str">
        <f>VLOOKUP(P746,BulletColor!A$2:B769,2)</f>
        <v>0.9,1,0.4</v>
      </c>
      <c r="O746" s="2">
        <v>30</v>
      </c>
      <c r="P746" s="2">
        <v>12</v>
      </c>
      <c r="Q746" s="2">
        <f>MOD((ROW()-2),2)</f>
        <v>0</v>
      </c>
    </row>
    <row r="747" spans="1:17" x14ac:dyDescent="0.2">
      <c r="A747" s="1">
        <f t="shared" si="43"/>
        <v>130121</v>
      </c>
      <c r="B747" s="3" t="str">
        <f>VLOOKUP(O747,BulletType!A$1:F$35,2)&amp;VLOOKUP(P747,BulletColor!A$1:C$25,3)</f>
        <v>深黄</v>
      </c>
      <c r="C747" s="3" t="str">
        <f>CONCATENATE("Bullet",INT(A747/10)*10)</f>
        <v>Bullet130120</v>
      </c>
      <c r="D747">
        <f>VLOOKUP(O747,BulletType!A$2:N795,9)</f>
        <v>0</v>
      </c>
      <c r="E747">
        <f>VLOOKUP(O747,BulletType!A$2:N795,10)</f>
        <v>0</v>
      </c>
      <c r="F747" s="3" t="str">
        <f>CONCATENATE(VLOOKUP(O747,BulletType!A$2:I$35,8),VLOOKUP(P747,BulletColor!A$2:D$16,4))</f>
        <v>090</v>
      </c>
      <c r="G747" s="3">
        <f>VLOOKUP(O747,BulletType!A$1:G$35,7)</f>
        <v>0</v>
      </c>
      <c r="H747" s="2">
        <f>INT(Q747)</f>
        <v>1</v>
      </c>
      <c r="I747">
        <f>VLOOKUP(O747,BulletType!A$1:F$35,3)</f>
        <v>0</v>
      </c>
      <c r="J747">
        <f>VLOOKUP(O747,BulletType!A$1:F$35,4)</f>
        <v>0</v>
      </c>
      <c r="K747">
        <f>VLOOKUP(O747,BulletType!A$1:F$35,5)</f>
        <v>0</v>
      </c>
      <c r="L747">
        <f>VLOOKUP(O747,BulletType!A$1:F$35,5)</f>
        <v>0</v>
      </c>
      <c r="M747">
        <f>VLOOKUP(O747,BulletType!A$1:F$35,6)</f>
        <v>0</v>
      </c>
      <c r="N747" s="3" t="str">
        <f>VLOOKUP(P747,BulletColor!A$2:B770,2)</f>
        <v>0.9,1,0.4</v>
      </c>
      <c r="O747" s="2">
        <v>30</v>
      </c>
      <c r="P747" s="2">
        <v>12</v>
      </c>
      <c r="Q747" s="2">
        <f>MOD((ROW()-2),2)</f>
        <v>1</v>
      </c>
    </row>
    <row r="748" spans="1:17" x14ac:dyDescent="0.2">
      <c r="A748" s="1">
        <f t="shared" si="43"/>
        <v>130130</v>
      </c>
      <c r="B748" s="3" t="str">
        <f>VLOOKUP(O748,BulletType!A$1:F$35,2)&amp;VLOOKUP(P748,BulletColor!A$1:C$25,3)</f>
        <v>浅黄</v>
      </c>
      <c r="C748" s="3" t="str">
        <f>CONCATENATE("Bullet",INT(A748/10)*10)</f>
        <v>Bullet130130</v>
      </c>
      <c r="D748">
        <f>VLOOKUP(O748,BulletType!A$2:N796,9)</f>
        <v>0</v>
      </c>
      <c r="E748">
        <f>VLOOKUP(O748,BulletType!A$2:N796,10)</f>
        <v>0</v>
      </c>
      <c r="F748" s="3" t="str">
        <f>CONCATENATE(VLOOKUP(O748,BulletType!A$2:I$35,8),VLOOKUP(P748,BulletColor!A$2:D$16,4))</f>
        <v>130</v>
      </c>
      <c r="G748" s="3">
        <f>VLOOKUP(O748,BulletType!A$1:G$35,7)</f>
        <v>0</v>
      </c>
      <c r="H748" s="2">
        <f>INT(Q748)</f>
        <v>0</v>
      </c>
      <c r="I748">
        <f>VLOOKUP(O748,BulletType!A$1:F$35,3)</f>
        <v>0</v>
      </c>
      <c r="J748">
        <f>VLOOKUP(O748,BulletType!A$1:F$35,4)</f>
        <v>0</v>
      </c>
      <c r="K748">
        <f>VLOOKUP(O748,BulletType!A$1:F$35,5)</f>
        <v>0</v>
      </c>
      <c r="L748">
        <f>VLOOKUP(O748,BulletType!A$1:F$35,5)</f>
        <v>0</v>
      </c>
      <c r="M748">
        <f>VLOOKUP(O748,BulletType!A$1:F$35,6)</f>
        <v>0</v>
      </c>
      <c r="N748" s="3" t="str">
        <f>VLOOKUP(P748,BulletColor!A$2:B771,2)</f>
        <v>0.9,1,0.4</v>
      </c>
      <c r="O748" s="2">
        <v>30</v>
      </c>
      <c r="P748" s="2">
        <v>13</v>
      </c>
      <c r="Q748" s="2">
        <f>MOD((ROW()-2),2)</f>
        <v>0</v>
      </c>
    </row>
    <row r="749" spans="1:17" x14ac:dyDescent="0.2">
      <c r="A749" s="1">
        <f t="shared" si="43"/>
        <v>130131</v>
      </c>
      <c r="B749" s="3" t="str">
        <f>VLOOKUP(O749,BulletType!A$1:F$35,2)&amp;VLOOKUP(P749,BulletColor!A$1:C$25,3)</f>
        <v>浅黄</v>
      </c>
      <c r="C749" s="3" t="str">
        <f>CONCATENATE("Bullet",INT(A749/10)*10)</f>
        <v>Bullet130130</v>
      </c>
      <c r="D749">
        <f>VLOOKUP(O749,BulletType!A$2:N797,9)</f>
        <v>0</v>
      </c>
      <c r="E749">
        <f>VLOOKUP(O749,BulletType!A$2:N797,10)</f>
        <v>0</v>
      </c>
      <c r="F749" s="3" t="str">
        <f>CONCATENATE(VLOOKUP(O749,BulletType!A$2:I$35,8),VLOOKUP(P749,BulletColor!A$2:D$16,4))</f>
        <v>130</v>
      </c>
      <c r="G749" s="3">
        <f>VLOOKUP(O749,BulletType!A$1:G$35,7)</f>
        <v>0</v>
      </c>
      <c r="H749" s="2">
        <f>INT(Q749)</f>
        <v>1</v>
      </c>
      <c r="I749">
        <f>VLOOKUP(O749,BulletType!A$1:F$35,3)</f>
        <v>0</v>
      </c>
      <c r="J749">
        <f>VLOOKUP(O749,BulletType!A$1:F$35,4)</f>
        <v>0</v>
      </c>
      <c r="K749">
        <f>VLOOKUP(O749,BulletType!A$1:F$35,5)</f>
        <v>0</v>
      </c>
      <c r="L749">
        <f>VLOOKUP(O749,BulletType!A$1:F$35,5)</f>
        <v>0</v>
      </c>
      <c r="M749">
        <f>VLOOKUP(O749,BulletType!A$1:F$35,6)</f>
        <v>0</v>
      </c>
      <c r="N749" s="3" t="str">
        <f>VLOOKUP(P749,BulletColor!A$2:B772,2)</f>
        <v>0.9,1,0.4</v>
      </c>
      <c r="O749" s="2">
        <v>30</v>
      </c>
      <c r="P749" s="2">
        <v>13</v>
      </c>
      <c r="Q749" s="2">
        <f>MOD((ROW()-2),2)</f>
        <v>1</v>
      </c>
    </row>
    <row r="750" spans="1:17" x14ac:dyDescent="0.2">
      <c r="A750" s="1">
        <f t="shared" si="43"/>
        <v>130140</v>
      </c>
      <c r="B750" s="3" t="str">
        <f>VLOOKUP(O750,BulletType!A$1:F$35,2)&amp;VLOOKUP(P750,BulletColor!A$1:C$25,3)</f>
        <v>棕黄</v>
      </c>
      <c r="C750" s="3" t="str">
        <f>CONCATENATE("Bullet",INT(A750/10)*10)</f>
        <v>Bullet130140</v>
      </c>
      <c r="D750">
        <f>VLOOKUP(O750,BulletType!A$2:N798,9)</f>
        <v>0</v>
      </c>
      <c r="E750">
        <f>VLOOKUP(O750,BulletType!A$2:N798,10)</f>
        <v>0</v>
      </c>
      <c r="F750" s="3" t="str">
        <f>CONCATENATE(VLOOKUP(O750,BulletType!A$2:I$35,8),VLOOKUP(P750,BulletColor!A$2:D$16,4))</f>
        <v>130</v>
      </c>
      <c r="G750" s="3">
        <f>VLOOKUP(O750,BulletType!A$1:G$35,7)</f>
        <v>0</v>
      </c>
      <c r="H750" s="2">
        <f>INT(Q750)</f>
        <v>0</v>
      </c>
      <c r="I750">
        <f>VLOOKUP(O750,BulletType!A$1:F$35,3)</f>
        <v>0</v>
      </c>
      <c r="J750">
        <f>VLOOKUP(O750,BulletType!A$1:F$35,4)</f>
        <v>0</v>
      </c>
      <c r="K750">
        <f>VLOOKUP(O750,BulletType!A$1:F$35,5)</f>
        <v>0</v>
      </c>
      <c r="L750">
        <f>VLOOKUP(O750,BulletType!A$1:F$35,5)</f>
        <v>0</v>
      </c>
      <c r="M750">
        <f>VLOOKUP(O750,BulletType!A$1:F$35,6)</f>
        <v>0</v>
      </c>
      <c r="N750" s="3" t="str">
        <f>VLOOKUP(P750,BulletColor!A$2:B773,2)</f>
        <v>0.9,1,0.4</v>
      </c>
      <c r="O750" s="2">
        <v>30</v>
      </c>
      <c r="P750" s="2">
        <v>14</v>
      </c>
      <c r="Q750" s="2">
        <f>MOD((ROW()-2),2)</f>
        <v>0</v>
      </c>
    </row>
    <row r="751" spans="1:17" x14ac:dyDescent="0.2">
      <c r="A751" s="1">
        <f t="shared" si="43"/>
        <v>130141</v>
      </c>
      <c r="B751" s="3" t="str">
        <f>VLOOKUP(O751,BulletType!A$1:F$35,2)&amp;VLOOKUP(P751,BulletColor!A$1:C$25,3)</f>
        <v>棕黄</v>
      </c>
      <c r="C751" s="3" t="str">
        <f>CONCATENATE("Bullet",INT(A751/10)*10)</f>
        <v>Bullet130140</v>
      </c>
      <c r="D751">
        <f>VLOOKUP(O751,BulletType!A$2:N799,9)</f>
        <v>0</v>
      </c>
      <c r="E751">
        <f>VLOOKUP(O751,BulletType!A$2:N799,10)</f>
        <v>0</v>
      </c>
      <c r="F751" s="3" t="str">
        <f>CONCATENATE(VLOOKUP(O751,BulletType!A$2:I$35,8),VLOOKUP(P751,BulletColor!A$2:D$16,4))</f>
        <v>130</v>
      </c>
      <c r="G751" s="3">
        <f>VLOOKUP(O751,BulletType!A$1:G$35,7)</f>
        <v>0</v>
      </c>
      <c r="H751" s="2">
        <f>INT(Q751)</f>
        <v>1</v>
      </c>
      <c r="I751">
        <f>VLOOKUP(O751,BulletType!A$1:F$35,3)</f>
        <v>0</v>
      </c>
      <c r="J751">
        <f>VLOOKUP(O751,BulletType!A$1:F$35,4)</f>
        <v>0</v>
      </c>
      <c r="K751">
        <f>VLOOKUP(O751,BulletType!A$1:F$35,5)</f>
        <v>0</v>
      </c>
      <c r="L751">
        <f>VLOOKUP(O751,BulletType!A$1:F$35,5)</f>
        <v>0</v>
      </c>
      <c r="M751">
        <f>VLOOKUP(O751,BulletType!A$1:F$35,6)</f>
        <v>0</v>
      </c>
      <c r="N751" s="3" t="str">
        <f>VLOOKUP(P751,BulletColor!A$2:B774,2)</f>
        <v>0.9,1,0.4</v>
      </c>
      <c r="O751" s="2">
        <v>30</v>
      </c>
      <c r="P751" s="2">
        <v>14</v>
      </c>
      <c r="Q751" s="2">
        <f>MOD((ROW()-2),2)</f>
        <v>1</v>
      </c>
    </row>
    <row r="752" spans="1:17" x14ac:dyDescent="0.2">
      <c r="A752" s="1">
        <f t="shared" si="43"/>
        <v>130150</v>
      </c>
      <c r="B752" s="3" t="str">
        <f>VLOOKUP(O752,BulletType!A$1:F$35,2)&amp;VLOOKUP(P752,BulletColor!A$1:C$25,3)</f>
        <v>白</v>
      </c>
      <c r="C752" s="3" t="str">
        <f>CONCATENATE("Bullet",INT(A752/10)*10)</f>
        <v>Bullet130150</v>
      </c>
      <c r="D752">
        <f>VLOOKUP(O752,BulletType!A$2:N800,9)</f>
        <v>0</v>
      </c>
      <c r="E752">
        <f>VLOOKUP(O752,BulletType!A$2:N800,10)</f>
        <v>0</v>
      </c>
      <c r="F752" s="3" t="str">
        <f>CONCATENATE(VLOOKUP(O752,BulletType!A$2:I$35,8),VLOOKUP(P752,BulletColor!A$2:D$16,4))</f>
        <v>130</v>
      </c>
      <c r="G752" s="3">
        <f>VLOOKUP(O752,BulletType!A$1:G$35,7)</f>
        <v>0</v>
      </c>
      <c r="H752" s="2">
        <f>INT(Q752)</f>
        <v>0</v>
      </c>
      <c r="I752">
        <f>VLOOKUP(O752,BulletType!A$1:F$35,3)</f>
        <v>0</v>
      </c>
      <c r="J752">
        <f>VLOOKUP(O752,BulletType!A$1:F$35,4)</f>
        <v>0</v>
      </c>
      <c r="K752">
        <f>VLOOKUP(O752,BulletType!A$1:F$35,5)</f>
        <v>0</v>
      </c>
      <c r="L752">
        <f>VLOOKUP(O752,BulletType!A$1:F$35,5)</f>
        <v>0</v>
      </c>
      <c r="M752">
        <f>VLOOKUP(O752,BulletType!A$1:F$35,6)</f>
        <v>0</v>
      </c>
      <c r="N752" s="3" t="str">
        <f>VLOOKUP(P752,BulletColor!A$2:B775,2)</f>
        <v>0.8,0.8,0.8</v>
      </c>
      <c r="O752" s="2">
        <v>30</v>
      </c>
      <c r="P752" s="2">
        <v>15</v>
      </c>
      <c r="Q752" s="2">
        <f>MOD((ROW()-2),2)</f>
        <v>0</v>
      </c>
    </row>
    <row r="753" spans="1:17" x14ac:dyDescent="0.2">
      <c r="A753" s="1">
        <f t="shared" si="43"/>
        <v>130151</v>
      </c>
      <c r="B753" s="3" t="str">
        <f>VLOOKUP(O753,BulletType!A$1:F$35,2)&amp;VLOOKUP(P753,BulletColor!A$1:C$25,3)</f>
        <v>白</v>
      </c>
      <c r="C753" s="3" t="str">
        <f>CONCATENATE("Bullet",INT(A753/10)*10)</f>
        <v>Bullet130150</v>
      </c>
      <c r="D753">
        <f>VLOOKUP(O753,BulletType!A$2:N801,9)</f>
        <v>0</v>
      </c>
      <c r="E753">
        <f>VLOOKUP(O753,BulletType!A$2:N801,10)</f>
        <v>0</v>
      </c>
      <c r="F753" s="3" t="str">
        <f>CONCATENATE(VLOOKUP(O753,BulletType!A$2:I$35,8),VLOOKUP(P753,BulletColor!A$2:D$16,4))</f>
        <v>130</v>
      </c>
      <c r="G753" s="3">
        <f>VLOOKUP(O753,BulletType!A$1:G$35,7)</f>
        <v>0</v>
      </c>
      <c r="H753" s="2">
        <f>INT(Q753)</f>
        <v>1</v>
      </c>
      <c r="I753">
        <f>VLOOKUP(O753,BulletType!A$1:F$35,3)</f>
        <v>0</v>
      </c>
      <c r="J753">
        <f>VLOOKUP(O753,BulletType!A$1:F$35,4)</f>
        <v>0</v>
      </c>
      <c r="K753">
        <f>VLOOKUP(O753,BulletType!A$1:F$35,5)</f>
        <v>0</v>
      </c>
      <c r="L753">
        <f>VLOOKUP(O753,BulletType!A$1:F$35,5)</f>
        <v>0</v>
      </c>
      <c r="M753">
        <f>VLOOKUP(O753,BulletType!A$1:F$35,6)</f>
        <v>0</v>
      </c>
      <c r="N753" s="3" t="str">
        <f>VLOOKUP(P753,BulletColor!A$2:B776,2)</f>
        <v>0.8,0.8,0.8</v>
      </c>
      <c r="O753" s="2">
        <v>30</v>
      </c>
      <c r="P753" s="2">
        <v>15</v>
      </c>
      <c r="Q753" s="2">
        <f>MOD((ROW()-2),2)</f>
        <v>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8"/>
  <sheetViews>
    <sheetView topLeftCell="E1" workbookViewId="0">
      <selection activeCell="K29" sqref="K29"/>
    </sheetView>
  </sheetViews>
  <sheetFormatPr defaultRowHeight="14.25" x14ac:dyDescent="0.2"/>
  <cols>
    <col min="1" max="1" width="28.5" customWidth="1"/>
    <col min="2" max="2" width="34.375" customWidth="1"/>
    <col min="3" max="3" width="37.75" customWidth="1"/>
    <col min="4" max="4" width="35.75" customWidth="1"/>
    <col min="5" max="5" width="22.625" customWidth="1"/>
    <col min="6" max="6" width="28.125" customWidth="1"/>
    <col min="7" max="7" width="20.75" customWidth="1"/>
    <col min="8" max="8" width="22.875" customWidth="1"/>
    <col min="9" max="10" width="25.875" customWidth="1"/>
    <col min="11" max="11" width="59.5" customWidth="1"/>
    <col min="12" max="12" width="13" customWidth="1"/>
  </cols>
  <sheetData>
    <row r="1" spans="1:12" x14ac:dyDescent="0.2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87</v>
      </c>
      <c r="H1" t="s">
        <v>83</v>
      </c>
      <c r="I1" t="s">
        <v>134</v>
      </c>
      <c r="J1" t="s">
        <v>135</v>
      </c>
      <c r="K1" t="s">
        <v>125</v>
      </c>
      <c r="L1" t="s">
        <v>127</v>
      </c>
    </row>
    <row r="2" spans="1:12" x14ac:dyDescent="0.2">
      <c r="A2">
        <v>0</v>
      </c>
      <c r="B2" t="s">
        <v>21</v>
      </c>
      <c r="C2">
        <v>0</v>
      </c>
      <c r="D2">
        <v>0</v>
      </c>
      <c r="E2">
        <f>F2 * 2</f>
        <v>4.8</v>
      </c>
      <c r="F2">
        <v>2.4</v>
      </c>
      <c r="G2" t="s">
        <v>111</v>
      </c>
      <c r="H2" t="s">
        <v>84</v>
      </c>
      <c r="I2">
        <v>0</v>
      </c>
      <c r="J2">
        <v>0</v>
      </c>
      <c r="K2" t="s">
        <v>133</v>
      </c>
      <c r="L2">
        <v>16</v>
      </c>
    </row>
    <row r="3" spans="1:12" x14ac:dyDescent="0.2">
      <c r="A3">
        <v>1</v>
      </c>
      <c r="B3" t="s">
        <v>17</v>
      </c>
      <c r="C3">
        <v>0</v>
      </c>
      <c r="D3">
        <v>0</v>
      </c>
      <c r="E3">
        <f t="shared" ref="E3:E29" si="0">F3 * 2</f>
        <v>4.8</v>
      </c>
      <c r="F3">
        <v>2.4</v>
      </c>
      <c r="G3" t="s">
        <v>110</v>
      </c>
      <c r="H3" t="s">
        <v>84</v>
      </c>
      <c r="I3">
        <v>0</v>
      </c>
      <c r="J3">
        <v>0</v>
      </c>
      <c r="K3" t="s">
        <v>126</v>
      </c>
      <c r="L3">
        <v>16</v>
      </c>
    </row>
    <row r="4" spans="1:12" x14ac:dyDescent="0.2">
      <c r="A4">
        <v>2</v>
      </c>
      <c r="B4" t="s">
        <v>18</v>
      </c>
      <c r="C4">
        <v>0</v>
      </c>
      <c r="D4">
        <v>0</v>
      </c>
      <c r="E4">
        <f t="shared" si="0"/>
        <v>8</v>
      </c>
      <c r="F4">
        <v>4</v>
      </c>
      <c r="G4" t="s">
        <v>109</v>
      </c>
      <c r="H4" t="s">
        <v>84</v>
      </c>
      <c r="I4">
        <v>0</v>
      </c>
      <c r="J4">
        <v>0</v>
      </c>
      <c r="K4" t="s">
        <v>126</v>
      </c>
      <c r="L4">
        <v>16</v>
      </c>
    </row>
    <row r="5" spans="1:12" x14ac:dyDescent="0.2">
      <c r="A5">
        <v>3</v>
      </c>
      <c r="B5" t="s">
        <v>19</v>
      </c>
      <c r="C5">
        <v>0</v>
      </c>
      <c r="D5">
        <v>0</v>
      </c>
      <c r="E5">
        <f t="shared" si="0"/>
        <v>4.8</v>
      </c>
      <c r="F5">
        <v>2.4</v>
      </c>
      <c r="G5" t="s">
        <v>99</v>
      </c>
      <c r="H5" t="s">
        <v>84</v>
      </c>
      <c r="I5">
        <v>0</v>
      </c>
      <c r="J5">
        <v>0</v>
      </c>
      <c r="K5" t="s">
        <v>126</v>
      </c>
      <c r="L5">
        <v>16</v>
      </c>
    </row>
    <row r="6" spans="1:12" x14ac:dyDescent="0.2">
      <c r="A6">
        <v>4</v>
      </c>
      <c r="B6" t="s">
        <v>20</v>
      </c>
      <c r="C6">
        <v>1</v>
      </c>
      <c r="D6">
        <v>0</v>
      </c>
      <c r="E6">
        <f t="shared" si="0"/>
        <v>4.8</v>
      </c>
      <c r="F6">
        <v>2.4</v>
      </c>
      <c r="G6" t="s">
        <v>108</v>
      </c>
      <c r="H6" t="s">
        <v>84</v>
      </c>
      <c r="I6">
        <v>0</v>
      </c>
      <c r="J6">
        <v>0</v>
      </c>
      <c r="K6" t="s">
        <v>126</v>
      </c>
      <c r="L6">
        <v>16</v>
      </c>
    </row>
    <row r="7" spans="1:12" x14ac:dyDescent="0.2">
      <c r="A7">
        <v>5</v>
      </c>
      <c r="B7" t="s">
        <v>22</v>
      </c>
      <c r="C7">
        <v>1</v>
      </c>
      <c r="D7">
        <v>0</v>
      </c>
      <c r="E7">
        <f t="shared" si="0"/>
        <v>4.8</v>
      </c>
      <c r="F7">
        <v>2.4</v>
      </c>
      <c r="G7" t="s">
        <v>107</v>
      </c>
      <c r="H7" t="s">
        <v>84</v>
      </c>
      <c r="I7">
        <v>0</v>
      </c>
      <c r="J7">
        <v>0</v>
      </c>
      <c r="K7" t="s">
        <v>126</v>
      </c>
      <c r="L7">
        <v>16</v>
      </c>
    </row>
    <row r="8" spans="1:12" x14ac:dyDescent="0.2">
      <c r="A8">
        <v>6</v>
      </c>
      <c r="B8" t="s">
        <v>23</v>
      </c>
      <c r="C8">
        <v>1</v>
      </c>
      <c r="D8">
        <v>0</v>
      </c>
      <c r="E8">
        <f t="shared" si="0"/>
        <v>4.8</v>
      </c>
      <c r="F8">
        <v>2.4</v>
      </c>
      <c r="G8" t="s">
        <v>106</v>
      </c>
      <c r="H8" t="s">
        <v>84</v>
      </c>
      <c r="I8">
        <v>0</v>
      </c>
      <c r="J8">
        <v>0</v>
      </c>
      <c r="K8" t="s">
        <v>126</v>
      </c>
      <c r="L8">
        <v>16</v>
      </c>
    </row>
    <row r="9" spans="1:12" x14ac:dyDescent="0.2">
      <c r="A9">
        <v>7</v>
      </c>
      <c r="B9" t="s">
        <v>24</v>
      </c>
      <c r="C9">
        <v>1</v>
      </c>
      <c r="D9">
        <v>0</v>
      </c>
      <c r="E9">
        <f t="shared" si="0"/>
        <v>5.6</v>
      </c>
      <c r="F9">
        <v>2.8</v>
      </c>
      <c r="G9" t="s">
        <v>105</v>
      </c>
      <c r="H9" t="s">
        <v>84</v>
      </c>
      <c r="I9">
        <v>0</v>
      </c>
      <c r="J9">
        <v>0</v>
      </c>
      <c r="K9" t="s">
        <v>126</v>
      </c>
      <c r="L9">
        <v>16</v>
      </c>
    </row>
    <row r="10" spans="1:12" x14ac:dyDescent="0.2">
      <c r="A10">
        <v>8</v>
      </c>
      <c r="B10" t="s">
        <v>25</v>
      </c>
      <c r="C10">
        <v>1</v>
      </c>
      <c r="D10">
        <v>0</v>
      </c>
      <c r="E10">
        <f t="shared" si="0"/>
        <v>4.8</v>
      </c>
      <c r="F10">
        <v>2.4</v>
      </c>
      <c r="G10" t="s">
        <v>104</v>
      </c>
      <c r="H10" t="s">
        <v>84</v>
      </c>
      <c r="I10">
        <v>0</v>
      </c>
      <c r="J10">
        <v>0</v>
      </c>
      <c r="K10" t="s">
        <v>126</v>
      </c>
      <c r="L10">
        <v>16</v>
      </c>
    </row>
    <row r="11" spans="1:12" x14ac:dyDescent="0.2">
      <c r="A11">
        <v>9</v>
      </c>
      <c r="B11" t="s">
        <v>26</v>
      </c>
      <c r="C11">
        <v>1</v>
      </c>
      <c r="D11">
        <v>0</v>
      </c>
      <c r="E11">
        <f t="shared" si="0"/>
        <v>4.8</v>
      </c>
      <c r="F11">
        <v>2.4</v>
      </c>
      <c r="G11" t="s">
        <v>103</v>
      </c>
      <c r="H11" t="s">
        <v>84</v>
      </c>
      <c r="I11">
        <v>0</v>
      </c>
      <c r="J11">
        <v>0</v>
      </c>
      <c r="K11" t="s">
        <v>126</v>
      </c>
      <c r="L11">
        <v>16</v>
      </c>
    </row>
    <row r="12" spans="1:12" x14ac:dyDescent="0.2">
      <c r="A12">
        <v>10</v>
      </c>
      <c r="B12" t="s">
        <v>27</v>
      </c>
      <c r="C12">
        <v>1</v>
      </c>
      <c r="D12">
        <v>0</v>
      </c>
      <c r="E12">
        <f t="shared" si="0"/>
        <v>4.8</v>
      </c>
      <c r="F12">
        <v>2.4</v>
      </c>
      <c r="G12" t="s">
        <v>102</v>
      </c>
      <c r="H12" t="s">
        <v>84</v>
      </c>
      <c r="I12">
        <v>0</v>
      </c>
      <c r="J12">
        <v>0</v>
      </c>
      <c r="K12" t="s">
        <v>126</v>
      </c>
      <c r="L12">
        <v>16</v>
      </c>
    </row>
    <row r="13" spans="1:12" x14ac:dyDescent="0.2">
      <c r="A13">
        <v>11</v>
      </c>
      <c r="B13" t="s">
        <v>28</v>
      </c>
      <c r="C13">
        <v>0</v>
      </c>
      <c r="D13">
        <v>3</v>
      </c>
      <c r="E13">
        <f t="shared" si="0"/>
        <v>8</v>
      </c>
      <c r="F13">
        <v>4</v>
      </c>
      <c r="G13" t="s">
        <v>101</v>
      </c>
      <c r="H13" t="s">
        <v>84</v>
      </c>
      <c r="I13">
        <v>0</v>
      </c>
      <c r="J13">
        <v>0</v>
      </c>
      <c r="K13" t="s">
        <v>126</v>
      </c>
      <c r="L13">
        <v>16</v>
      </c>
    </row>
    <row r="14" spans="1:12" x14ac:dyDescent="0.2">
      <c r="A14">
        <v>12</v>
      </c>
      <c r="B14" t="s">
        <v>29</v>
      </c>
      <c r="C14">
        <v>0</v>
      </c>
      <c r="D14">
        <v>0</v>
      </c>
      <c r="E14">
        <f t="shared" si="0"/>
        <v>8</v>
      </c>
      <c r="F14">
        <v>4</v>
      </c>
      <c r="G14" t="s">
        <v>100</v>
      </c>
      <c r="H14" t="s">
        <v>84</v>
      </c>
      <c r="I14">
        <v>0</v>
      </c>
      <c r="J14">
        <v>0</v>
      </c>
      <c r="K14" t="s">
        <v>126</v>
      </c>
      <c r="L14">
        <v>16</v>
      </c>
    </row>
    <row r="15" spans="1:12" x14ac:dyDescent="0.2">
      <c r="A15">
        <v>13</v>
      </c>
      <c r="B15" t="s">
        <v>30</v>
      </c>
      <c r="C15">
        <v>0</v>
      </c>
      <c r="D15">
        <v>0</v>
      </c>
      <c r="E15">
        <f t="shared" si="0"/>
        <v>17</v>
      </c>
      <c r="F15">
        <v>8.5</v>
      </c>
      <c r="G15" t="s">
        <v>99</v>
      </c>
      <c r="H15" t="s">
        <v>84</v>
      </c>
      <c r="I15">
        <v>0</v>
      </c>
      <c r="J15">
        <v>0</v>
      </c>
      <c r="K15" t="s">
        <v>126</v>
      </c>
      <c r="L15">
        <v>16</v>
      </c>
    </row>
    <row r="16" spans="1:12" x14ac:dyDescent="0.2">
      <c r="A16">
        <v>14</v>
      </c>
      <c r="B16" t="s">
        <v>31</v>
      </c>
      <c r="C16">
        <v>1</v>
      </c>
      <c r="D16">
        <v>0</v>
      </c>
      <c r="E16">
        <f t="shared" si="0"/>
        <v>14</v>
      </c>
      <c r="F16">
        <v>7</v>
      </c>
      <c r="G16" t="s">
        <v>98</v>
      </c>
      <c r="H16" t="s">
        <v>84</v>
      </c>
      <c r="I16">
        <v>0</v>
      </c>
      <c r="J16">
        <v>0</v>
      </c>
      <c r="K16" t="s">
        <v>128</v>
      </c>
      <c r="L16">
        <v>8</v>
      </c>
    </row>
    <row r="17" spans="1:12" x14ac:dyDescent="0.2">
      <c r="A17">
        <v>15</v>
      </c>
      <c r="B17" t="s">
        <v>32</v>
      </c>
      <c r="C17">
        <v>1</v>
      </c>
      <c r="D17">
        <v>0</v>
      </c>
      <c r="E17">
        <f t="shared" si="0"/>
        <v>12</v>
      </c>
      <c r="F17">
        <v>6</v>
      </c>
      <c r="G17" t="s">
        <v>97</v>
      </c>
      <c r="H17" t="s">
        <v>84</v>
      </c>
      <c r="I17">
        <v>0</v>
      </c>
      <c r="J17">
        <v>0</v>
      </c>
      <c r="K17" t="s">
        <v>128</v>
      </c>
      <c r="L17">
        <v>8</v>
      </c>
    </row>
    <row r="18" spans="1:12" x14ac:dyDescent="0.2">
      <c r="A18">
        <v>16</v>
      </c>
      <c r="B18" t="s">
        <v>33</v>
      </c>
      <c r="C18">
        <v>1</v>
      </c>
      <c r="D18">
        <v>0</v>
      </c>
      <c r="E18">
        <f t="shared" si="0"/>
        <v>14</v>
      </c>
      <c r="F18">
        <v>7</v>
      </c>
      <c r="G18" t="s">
        <v>96</v>
      </c>
      <c r="H18" t="s">
        <v>84</v>
      </c>
      <c r="I18">
        <v>0</v>
      </c>
      <c r="J18">
        <v>0</v>
      </c>
      <c r="K18" t="s">
        <v>128</v>
      </c>
      <c r="L18">
        <v>8</v>
      </c>
    </row>
    <row r="19" spans="1:12" x14ac:dyDescent="0.2">
      <c r="A19">
        <v>17</v>
      </c>
      <c r="B19" t="s">
        <v>34</v>
      </c>
      <c r="C19">
        <v>0</v>
      </c>
      <c r="D19">
        <v>3</v>
      </c>
      <c r="E19">
        <f t="shared" si="0"/>
        <v>14</v>
      </c>
      <c r="F19">
        <v>7</v>
      </c>
      <c r="G19" t="s">
        <v>95</v>
      </c>
      <c r="H19" t="s">
        <v>84</v>
      </c>
      <c r="I19">
        <v>0</v>
      </c>
      <c r="J19">
        <v>0</v>
      </c>
      <c r="K19" t="s">
        <v>131</v>
      </c>
      <c r="L19">
        <v>8</v>
      </c>
    </row>
    <row r="20" spans="1:12" x14ac:dyDescent="0.2">
      <c r="A20">
        <v>18</v>
      </c>
      <c r="B20" t="s">
        <v>35</v>
      </c>
      <c r="C20">
        <v>0</v>
      </c>
      <c r="D20">
        <v>0</v>
      </c>
      <c r="E20">
        <f t="shared" si="0"/>
        <v>28</v>
      </c>
      <c r="F20">
        <v>14</v>
      </c>
      <c r="G20" t="s">
        <v>94</v>
      </c>
      <c r="H20" t="s">
        <v>84</v>
      </c>
      <c r="I20">
        <v>0</v>
      </c>
      <c r="J20">
        <v>0</v>
      </c>
      <c r="K20" t="s">
        <v>129</v>
      </c>
      <c r="L20">
        <v>4</v>
      </c>
    </row>
    <row r="21" spans="1:12" x14ac:dyDescent="0.2">
      <c r="A21">
        <v>19</v>
      </c>
      <c r="B21" t="s">
        <v>36</v>
      </c>
      <c r="C21">
        <v>0</v>
      </c>
      <c r="D21">
        <v>0</v>
      </c>
      <c r="E21">
        <f t="shared" si="0"/>
        <v>28</v>
      </c>
      <c r="F21">
        <v>14</v>
      </c>
      <c r="G21" t="s">
        <v>93</v>
      </c>
      <c r="H21" t="s">
        <v>84</v>
      </c>
      <c r="I21">
        <v>0</v>
      </c>
      <c r="J21">
        <v>0</v>
      </c>
      <c r="K21" t="s">
        <v>130</v>
      </c>
      <c r="L21">
        <v>4</v>
      </c>
    </row>
    <row r="22" spans="1:12" x14ac:dyDescent="0.2">
      <c r="A22">
        <v>20</v>
      </c>
      <c r="B22" t="s">
        <v>37</v>
      </c>
      <c r="C22">
        <v>1</v>
      </c>
      <c r="D22">
        <v>0</v>
      </c>
      <c r="E22">
        <f t="shared" si="0"/>
        <v>20</v>
      </c>
      <c r="F22">
        <v>10</v>
      </c>
      <c r="G22" t="s">
        <v>91</v>
      </c>
      <c r="H22" t="s">
        <v>84</v>
      </c>
      <c r="I22">
        <v>0</v>
      </c>
      <c r="J22">
        <v>0</v>
      </c>
      <c r="K22" t="s">
        <v>132</v>
      </c>
      <c r="L22">
        <v>16</v>
      </c>
    </row>
    <row r="23" spans="1:12" x14ac:dyDescent="0.2">
      <c r="A23">
        <v>21</v>
      </c>
      <c r="B23" t="s">
        <v>38</v>
      </c>
      <c r="C23">
        <v>1</v>
      </c>
      <c r="D23">
        <v>0</v>
      </c>
      <c r="E23">
        <f t="shared" si="0"/>
        <v>4.8</v>
      </c>
      <c r="F23">
        <v>2.4</v>
      </c>
      <c r="G23" t="s">
        <v>92</v>
      </c>
      <c r="H23" t="s">
        <v>84</v>
      </c>
      <c r="I23">
        <v>0</v>
      </c>
      <c r="J23">
        <v>0</v>
      </c>
      <c r="K23" t="s">
        <v>131</v>
      </c>
      <c r="L23">
        <v>8</v>
      </c>
    </row>
    <row r="24" spans="1:12" x14ac:dyDescent="0.2">
      <c r="A24">
        <v>22</v>
      </c>
      <c r="B24" t="s">
        <v>78</v>
      </c>
      <c r="C24">
        <v>0</v>
      </c>
      <c r="D24">
        <v>0</v>
      </c>
      <c r="E24">
        <f t="shared" si="0"/>
        <v>24</v>
      </c>
      <c r="F24">
        <v>12</v>
      </c>
      <c r="G24" t="s">
        <v>86</v>
      </c>
      <c r="H24" t="s">
        <v>85</v>
      </c>
      <c r="I24">
        <v>0</v>
      </c>
      <c r="J24">
        <v>0</v>
      </c>
      <c r="K24" t="s">
        <v>131</v>
      </c>
      <c r="L24">
        <v>8</v>
      </c>
    </row>
    <row r="25" spans="1:12" x14ac:dyDescent="0.2">
      <c r="A25">
        <v>23</v>
      </c>
      <c r="B25" t="s">
        <v>79</v>
      </c>
      <c r="C25">
        <v>1</v>
      </c>
      <c r="D25">
        <v>0</v>
      </c>
      <c r="E25">
        <f t="shared" si="0"/>
        <v>8</v>
      </c>
      <c r="F25">
        <v>4</v>
      </c>
      <c r="G25" t="s">
        <v>90</v>
      </c>
      <c r="H25" t="s">
        <v>84</v>
      </c>
      <c r="I25">
        <v>0</v>
      </c>
      <c r="J25">
        <v>0</v>
      </c>
      <c r="K25" t="s">
        <v>131</v>
      </c>
      <c r="L25">
        <v>8</v>
      </c>
    </row>
    <row r="26" spans="1:12" x14ac:dyDescent="0.2">
      <c r="A26">
        <v>24</v>
      </c>
      <c r="B26" t="s">
        <v>80</v>
      </c>
      <c r="C26">
        <v>0</v>
      </c>
      <c r="D26">
        <v>0</v>
      </c>
      <c r="E26">
        <f t="shared" si="0"/>
        <v>12</v>
      </c>
      <c r="F26">
        <v>6</v>
      </c>
      <c r="G26" t="s">
        <v>88</v>
      </c>
      <c r="H26" t="s">
        <v>84</v>
      </c>
      <c r="I26">
        <v>0</v>
      </c>
      <c r="J26">
        <v>0</v>
      </c>
      <c r="K26" t="s">
        <v>131</v>
      </c>
      <c r="L26">
        <v>8</v>
      </c>
    </row>
    <row r="27" spans="1:12" x14ac:dyDescent="0.2">
      <c r="A27">
        <v>25</v>
      </c>
      <c r="B27" t="s">
        <v>81</v>
      </c>
      <c r="C27">
        <v>1</v>
      </c>
      <c r="D27">
        <v>0</v>
      </c>
      <c r="E27">
        <f t="shared" si="0"/>
        <v>10</v>
      </c>
      <c r="F27">
        <v>5</v>
      </c>
      <c r="G27" t="s">
        <v>89</v>
      </c>
      <c r="H27" t="s">
        <v>84</v>
      </c>
      <c r="I27">
        <v>0</v>
      </c>
      <c r="J27">
        <v>0</v>
      </c>
      <c r="K27" t="s">
        <v>131</v>
      </c>
      <c r="L27">
        <v>8</v>
      </c>
    </row>
    <row r="28" spans="1:12" x14ac:dyDescent="0.2">
      <c r="A28">
        <v>26</v>
      </c>
      <c r="B28" t="s">
        <v>136</v>
      </c>
      <c r="C28">
        <v>1</v>
      </c>
      <c r="D28">
        <v>0</v>
      </c>
      <c r="E28">
        <f t="shared" si="0"/>
        <v>12</v>
      </c>
      <c r="F28">
        <v>6</v>
      </c>
      <c r="G28" t="s">
        <v>138</v>
      </c>
      <c r="H28" t="s">
        <v>137</v>
      </c>
      <c r="I28">
        <v>4</v>
      </c>
      <c r="J28">
        <v>6</v>
      </c>
      <c r="K28" t="s">
        <v>139</v>
      </c>
      <c r="L28">
        <v>4</v>
      </c>
    </row>
    <row r="29" spans="1:12" x14ac:dyDescent="0.2">
      <c r="A29">
        <v>27</v>
      </c>
      <c r="B29" t="s">
        <v>140</v>
      </c>
      <c r="C29">
        <v>1</v>
      </c>
      <c r="D29">
        <v>0</v>
      </c>
      <c r="E29">
        <f t="shared" si="0"/>
        <v>8</v>
      </c>
      <c r="F29">
        <v>4</v>
      </c>
      <c r="G29" t="s">
        <v>141</v>
      </c>
      <c r="H29" t="s">
        <v>137</v>
      </c>
      <c r="I29">
        <v>3</v>
      </c>
      <c r="J29">
        <v>4</v>
      </c>
      <c r="K29" t="s">
        <v>142</v>
      </c>
      <c r="L29">
        <v>4</v>
      </c>
    </row>
    <row r="30" spans="1:12" x14ac:dyDescent="0.2">
      <c r="A30">
        <v>28</v>
      </c>
    </row>
    <row r="31" spans="1:12" x14ac:dyDescent="0.2">
      <c r="A31">
        <v>29</v>
      </c>
    </row>
    <row r="32" spans="1:12" x14ac:dyDescent="0.2">
      <c r="A32">
        <v>30</v>
      </c>
    </row>
    <row r="33" spans="1:1" x14ac:dyDescent="0.2">
      <c r="A33">
        <v>31</v>
      </c>
    </row>
    <row r="34" spans="1:1" x14ac:dyDescent="0.2">
      <c r="A34">
        <v>32</v>
      </c>
    </row>
    <row r="35" spans="1:1" x14ac:dyDescent="0.2">
      <c r="A35">
        <v>33</v>
      </c>
    </row>
    <row r="36" spans="1:1" x14ac:dyDescent="0.2">
      <c r="A36">
        <v>34</v>
      </c>
    </row>
    <row r="37" spans="1:1" x14ac:dyDescent="0.2">
      <c r="A37">
        <v>35</v>
      </c>
    </row>
    <row r="38" spans="1:1" x14ac:dyDescent="0.2">
      <c r="A38">
        <v>36</v>
      </c>
    </row>
    <row r="39" spans="1:1" x14ac:dyDescent="0.2">
      <c r="A39">
        <v>37</v>
      </c>
    </row>
    <row r="40" spans="1:1" x14ac:dyDescent="0.2">
      <c r="A40">
        <v>38</v>
      </c>
    </row>
    <row r="41" spans="1:1" x14ac:dyDescent="0.2">
      <c r="A41">
        <v>39</v>
      </c>
    </row>
    <row r="42" spans="1:1" x14ac:dyDescent="0.2">
      <c r="A42">
        <v>40</v>
      </c>
    </row>
    <row r="43" spans="1:1" x14ac:dyDescent="0.2">
      <c r="A43">
        <v>41</v>
      </c>
    </row>
    <row r="44" spans="1:1" x14ac:dyDescent="0.2">
      <c r="A44">
        <v>42</v>
      </c>
    </row>
    <row r="45" spans="1:1" x14ac:dyDescent="0.2">
      <c r="A45">
        <v>43</v>
      </c>
    </row>
    <row r="46" spans="1:1" x14ac:dyDescent="0.2">
      <c r="A46">
        <v>44</v>
      </c>
    </row>
    <row r="47" spans="1:1" x14ac:dyDescent="0.2">
      <c r="A47">
        <v>45</v>
      </c>
    </row>
    <row r="48" spans="1:1" x14ac:dyDescent="0.2">
      <c r="A48">
        <v>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selection activeCell="D16" sqref="D16"/>
    </sheetView>
  </sheetViews>
  <sheetFormatPr defaultRowHeight="14.25" x14ac:dyDescent="0.2"/>
  <cols>
    <col min="1" max="1" width="19.125" customWidth="1"/>
    <col min="2" max="2" width="27.25" customWidth="1"/>
    <col min="3" max="3" width="39" customWidth="1"/>
    <col min="4" max="4" width="22.125" customWidth="1"/>
  </cols>
  <sheetData>
    <row r="1" spans="1:4" x14ac:dyDescent="0.2">
      <c r="A1" t="s">
        <v>39</v>
      </c>
      <c r="B1" t="s">
        <v>40</v>
      </c>
      <c r="C1" t="s">
        <v>57</v>
      </c>
      <c r="D1" s="3" t="s">
        <v>82</v>
      </c>
    </row>
    <row r="2" spans="1:4" x14ac:dyDescent="0.2">
      <c r="A2">
        <v>0</v>
      </c>
      <c r="B2" t="s">
        <v>41</v>
      </c>
      <c r="C2" t="s">
        <v>58</v>
      </c>
      <c r="D2" s="3" t="s">
        <v>112</v>
      </c>
    </row>
    <row r="3" spans="1:4" x14ac:dyDescent="0.2">
      <c r="A3">
        <v>1</v>
      </c>
      <c r="B3" t="s">
        <v>43</v>
      </c>
      <c r="C3" t="s">
        <v>61</v>
      </c>
      <c r="D3" s="3" t="s">
        <v>113</v>
      </c>
    </row>
    <row r="4" spans="1:4" x14ac:dyDescent="0.2">
      <c r="A4">
        <v>2</v>
      </c>
      <c r="B4" t="s">
        <v>44</v>
      </c>
      <c r="C4" t="s">
        <v>60</v>
      </c>
      <c r="D4" s="3" t="s">
        <v>114</v>
      </c>
    </row>
    <row r="5" spans="1:4" x14ac:dyDescent="0.2">
      <c r="A5">
        <v>3</v>
      </c>
      <c r="B5" t="s">
        <v>45</v>
      </c>
      <c r="C5" t="s">
        <v>62</v>
      </c>
      <c r="D5" s="3" t="s">
        <v>115</v>
      </c>
    </row>
    <row r="6" spans="1:4" x14ac:dyDescent="0.2">
      <c r="A6">
        <v>4</v>
      </c>
      <c r="B6" t="s">
        <v>46</v>
      </c>
      <c r="C6" t="s">
        <v>63</v>
      </c>
      <c r="D6" s="3" t="s">
        <v>116</v>
      </c>
    </row>
    <row r="7" spans="1:4" x14ac:dyDescent="0.2">
      <c r="A7">
        <v>5</v>
      </c>
      <c r="B7" t="s">
        <v>47</v>
      </c>
      <c r="C7" t="s">
        <v>64</v>
      </c>
      <c r="D7" s="3" t="s">
        <v>117</v>
      </c>
    </row>
    <row r="8" spans="1:4" x14ac:dyDescent="0.2">
      <c r="A8">
        <v>6</v>
      </c>
      <c r="B8" t="s">
        <v>48</v>
      </c>
      <c r="C8" t="s">
        <v>65</v>
      </c>
      <c r="D8" s="3" t="s">
        <v>117</v>
      </c>
    </row>
    <row r="9" spans="1:4" x14ac:dyDescent="0.2">
      <c r="A9">
        <v>7</v>
      </c>
      <c r="B9" t="s">
        <v>49</v>
      </c>
      <c r="C9" t="s">
        <v>66</v>
      </c>
      <c r="D9" s="3" t="s">
        <v>118</v>
      </c>
    </row>
    <row r="10" spans="1:4" x14ac:dyDescent="0.2">
      <c r="A10">
        <v>8</v>
      </c>
      <c r="B10" t="s">
        <v>50</v>
      </c>
      <c r="C10" t="s">
        <v>67</v>
      </c>
      <c r="D10" s="3" t="s">
        <v>118</v>
      </c>
    </row>
    <row r="11" spans="1:4" x14ac:dyDescent="0.2">
      <c r="A11">
        <v>9</v>
      </c>
      <c r="B11" t="s">
        <v>51</v>
      </c>
      <c r="C11" t="s">
        <v>68</v>
      </c>
      <c r="D11" s="3" t="s">
        <v>119</v>
      </c>
    </row>
    <row r="12" spans="1:4" x14ac:dyDescent="0.2">
      <c r="A12">
        <v>10</v>
      </c>
      <c r="B12" t="s">
        <v>52</v>
      </c>
      <c r="C12" t="s">
        <v>69</v>
      </c>
      <c r="D12" s="3" t="s">
        <v>120</v>
      </c>
    </row>
    <row r="13" spans="1:4" x14ac:dyDescent="0.2">
      <c r="A13">
        <v>11</v>
      </c>
      <c r="B13" t="s">
        <v>53</v>
      </c>
      <c r="C13" t="s">
        <v>70</v>
      </c>
      <c r="D13" s="3" t="s">
        <v>121</v>
      </c>
    </row>
    <row r="14" spans="1:4" x14ac:dyDescent="0.2">
      <c r="A14">
        <v>12</v>
      </c>
      <c r="B14" t="s">
        <v>54</v>
      </c>
      <c r="C14" t="s">
        <v>71</v>
      </c>
      <c r="D14" s="3" t="s">
        <v>119</v>
      </c>
    </row>
    <row r="15" spans="1:4" x14ac:dyDescent="0.2">
      <c r="A15">
        <v>13</v>
      </c>
      <c r="B15" t="s">
        <v>55</v>
      </c>
      <c r="C15" t="s">
        <v>72</v>
      </c>
      <c r="D15" s="3" t="s">
        <v>122</v>
      </c>
    </row>
    <row r="16" spans="1:4" x14ac:dyDescent="0.2">
      <c r="A16">
        <v>14</v>
      </c>
      <c r="B16" t="s">
        <v>56</v>
      </c>
      <c r="C16" t="s">
        <v>73</v>
      </c>
      <c r="D16" s="3" t="s">
        <v>123</v>
      </c>
    </row>
    <row r="17" spans="1:4" x14ac:dyDescent="0.2">
      <c r="A17">
        <v>15</v>
      </c>
      <c r="B17" t="s">
        <v>42</v>
      </c>
      <c r="C17" t="s">
        <v>59</v>
      </c>
      <c r="D17" s="3" t="s">
        <v>124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Bullet</vt:lpstr>
      <vt:lpstr>BulletType</vt:lpstr>
      <vt:lpstr>BulletColor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2018-09-04T03:06:34Z</dcterms:created>
  <dcterms:modified xsi:type="dcterms:W3CDTF">2018-12-01T08:16:15Z</dcterms:modified>
</cp:coreProperties>
</file>