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u3d\BarrageDemo\Excels\"/>
    </mc:Choice>
  </mc:AlternateContent>
  <bookViews>
    <workbookView xWindow="0" yWindow="0" windowWidth="28800" windowHeight="12240"/>
  </bookViews>
  <sheets>
    <sheet name="CurveLaser" sheetId="1" r:id="rId1"/>
    <sheet name="LaserType" sheetId="4" r:id="rId2"/>
    <sheet name="BulletColor" sheetId="3" r:id="rId3"/>
    <sheet name="SuperPrefix" sheetId="5" r:id="rId4"/>
  </sheets>
  <calcPr calcId="152511"/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F3" i="1"/>
  <c r="B36" i="1" l="1"/>
  <c r="E36" i="1"/>
  <c r="F36" i="1"/>
  <c r="G36" i="1"/>
  <c r="C36" i="1"/>
  <c r="E35" i="1"/>
  <c r="B35" i="1"/>
  <c r="C35" i="1"/>
  <c r="A36" i="1" l="1"/>
  <c r="I36" i="1"/>
  <c r="D36" i="1"/>
  <c r="A35" i="1"/>
  <c r="I35" i="1"/>
  <c r="D35" i="1"/>
  <c r="G35" i="1"/>
  <c r="F35" i="1"/>
  <c r="E3" i="4"/>
  <c r="E9" i="1" l="1"/>
  <c r="E3" i="1"/>
  <c r="E4" i="1"/>
  <c r="E5" i="1"/>
  <c r="E6" i="1"/>
  <c r="E7" i="1"/>
  <c r="E8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C3" i="1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E2" i="4" l="1"/>
  <c r="A4" i="1" l="1"/>
  <c r="A8" i="1"/>
  <c r="A12" i="1"/>
  <c r="A16" i="1"/>
  <c r="A20" i="1"/>
  <c r="A24" i="1"/>
  <c r="A28" i="1"/>
  <c r="A32" i="1"/>
  <c r="A9" i="1"/>
  <c r="A13" i="1"/>
  <c r="A17" i="1"/>
  <c r="A21" i="1"/>
  <c r="A25" i="1"/>
  <c r="A29" i="1"/>
  <c r="A33" i="1"/>
  <c r="A5" i="1"/>
  <c r="A6" i="1"/>
  <c r="A10" i="1"/>
  <c r="A14" i="1"/>
  <c r="A18" i="1"/>
  <c r="A22" i="1"/>
  <c r="A26" i="1"/>
  <c r="A30" i="1"/>
  <c r="A34" i="1"/>
  <c r="A11" i="1"/>
  <c r="A15" i="1"/>
  <c r="A19" i="1"/>
  <c r="A23" i="1"/>
  <c r="A27" i="1"/>
  <c r="A31" i="1"/>
  <c r="A3" i="1"/>
  <c r="A7" i="1"/>
  <c r="G3" i="1"/>
  <c r="G34" i="1"/>
  <c r="G30" i="1"/>
  <c r="G26" i="1"/>
  <c r="G22" i="1"/>
  <c r="G18" i="1"/>
  <c r="G14" i="1"/>
  <c r="F7" i="1"/>
  <c r="I10" i="1"/>
  <c r="I9" i="1"/>
  <c r="I5" i="1"/>
  <c r="G33" i="1"/>
  <c r="G29" i="1"/>
  <c r="G25" i="1"/>
  <c r="G21" i="1"/>
  <c r="G17" i="1"/>
  <c r="G13" i="1"/>
  <c r="G8" i="1"/>
  <c r="F4" i="1"/>
  <c r="G32" i="1"/>
  <c r="F28" i="1"/>
  <c r="G24" i="1"/>
  <c r="F20" i="1"/>
  <c r="G16" i="1"/>
  <c r="F12" i="1"/>
  <c r="G31" i="1"/>
  <c r="G27" i="1"/>
  <c r="G23" i="1"/>
  <c r="G19" i="1"/>
  <c r="G15" i="1"/>
  <c r="G11" i="1"/>
  <c r="I7" i="1"/>
  <c r="G10" i="1"/>
  <c r="G6" i="1"/>
  <c r="I6" i="1"/>
  <c r="G9" i="1"/>
  <c r="G5" i="1"/>
  <c r="G28" i="1"/>
  <c r="G20" i="1"/>
  <c r="G12" i="1"/>
  <c r="G4" i="1"/>
  <c r="G7" i="1"/>
  <c r="I31" i="1"/>
  <c r="F31" i="1"/>
  <c r="I27" i="1"/>
  <c r="F27" i="1"/>
  <c r="I23" i="1"/>
  <c r="F23" i="1"/>
  <c r="I19" i="1"/>
  <c r="F19" i="1"/>
  <c r="I15" i="1"/>
  <c r="F15" i="1"/>
  <c r="I11" i="1"/>
  <c r="F11" i="1"/>
  <c r="I32" i="1"/>
  <c r="F32" i="1"/>
  <c r="F16" i="1"/>
  <c r="F9" i="1"/>
  <c r="F5" i="1"/>
  <c r="I8" i="1"/>
  <c r="I4" i="1"/>
  <c r="I34" i="1"/>
  <c r="F34" i="1"/>
  <c r="F30" i="1"/>
  <c r="I30" i="1"/>
  <c r="I26" i="1"/>
  <c r="F26" i="1"/>
  <c r="F22" i="1"/>
  <c r="I22" i="1"/>
  <c r="I18" i="1"/>
  <c r="F18" i="1"/>
  <c r="F14" i="1"/>
  <c r="I14" i="1"/>
  <c r="I24" i="1"/>
  <c r="I28" i="1"/>
  <c r="I20" i="1"/>
  <c r="I12" i="1"/>
  <c r="F10" i="1"/>
  <c r="F6" i="1"/>
  <c r="I3" i="1"/>
  <c r="I33" i="1"/>
  <c r="F33" i="1"/>
  <c r="I29" i="1"/>
  <c r="F29" i="1"/>
  <c r="I25" i="1"/>
  <c r="F25" i="1"/>
  <c r="I21" i="1"/>
  <c r="F21" i="1"/>
  <c r="I17" i="1"/>
  <c r="F17" i="1"/>
  <c r="I13" i="1"/>
  <c r="F13" i="1"/>
  <c r="I16" i="1"/>
  <c r="F24" i="1"/>
  <c r="F8" i="1"/>
</calcChain>
</file>

<file path=xl/connections.xml><?xml version="1.0" encoding="utf-8"?>
<connections xmlns="http://schemas.openxmlformats.org/spreadsheetml/2006/main">
  <connection id="1" name="EnemyCurveLaserCfgs" type="4" refreshedVersion="0" background="1">
    <webPr xml="1" sourceData="1" url="F:\MyProject\excel\EnemyCurveLaserCfgs.xml" htmlTables="1" htmlFormat="all"/>
  </connection>
  <connection id="2" name="EnemyCurveLaserCfgs1" type="4" refreshedVersion="0" background="1">
    <webPr xml="1" sourceData="1" url="F:\u3d\BarrageDemo\Excels\EnemyCurveLaserCfgs.xml" htmlTables="1" htmlFormat="all"/>
  </connection>
  <connection id="3" name="EnemyCurveLaserCfgs2" type="4" refreshedVersion="0" background="1">
    <webPr xml="1" sourceData="1" url="F:\u3d\BarrageDemo\Excels\EnemyCurveLaserCfgs.xml" htmlTables="1" htmlFormat="all"/>
  </connection>
  <connection id="4" name="EnemyLinearLaserCfgs" type="4" refreshedVersion="0" background="1">
    <webPr xml="1" sourceData="1" url="F:\MyProject\excel\EnemyLinearLaserCfgs.xml" htmlTables="1" htmlFormat="all"/>
  </connection>
  <connection id="5" name="EnemyLinearLaserCfgs1" type="4" refreshedVersion="0" background="1">
    <webPr xml="1" sourceData="1" url="F:\MyProject\excel\EnemyLinearLaserCfgs.xml" htmlTables="1" htmlFormat="all"/>
  </connection>
  <connection id="6" name="EnemyLinearLaserCfgs2" type="4" refreshedVersion="0" background="1">
    <webPr xml="1" sourceData="1" url="F:\MyProject\excel\EnemyLinearLaserCfgs.xml" htmlTables="1" htmlFormat="all"/>
  </connection>
  <connection id="7" name="EnemyLinearLaserCfgs3" type="4" refreshedVersion="0" background="1">
    <webPr xml="1" sourceData="1" url="F:\MyProject\excel\EnemyLinearLaserCfgs.xml" htmlTables="1" htmlFormat="all"/>
  </connection>
  <connection id="8" name="EnemyLinearLaserCfgs4" type="4" refreshedVersion="0" background="1">
    <webPr xml="1" sourceData="1" url="F:\MyProject\excel\EnemyLinearLaserCfgs.xml" htmlTables="1" htmlFormat="all"/>
  </connection>
</connections>
</file>

<file path=xl/sharedStrings.xml><?xml version="1.0" encoding="utf-8"?>
<sst xmlns="http://schemas.openxmlformats.org/spreadsheetml/2006/main" count="88" uniqueCount="73">
  <si>
    <t>comment</t>
    <phoneticPr fontId="1" type="noConversion"/>
  </si>
  <si>
    <t>eliminateColor</t>
    <phoneticPr fontId="1" type="noConversion"/>
  </si>
  <si>
    <t>id</t>
    <phoneticPr fontId="1" type="noConversion"/>
  </si>
  <si>
    <t>BulletColor</t>
    <phoneticPr fontId="1" type="noConversion"/>
  </si>
  <si>
    <t>EliminateColor</t>
    <phoneticPr fontId="1" type="noConversion"/>
  </si>
  <si>
    <t>ColorComment</t>
    <phoneticPr fontId="1" type="noConversion"/>
  </si>
  <si>
    <t>0.5,0.5,0.5</t>
    <phoneticPr fontId="1" type="noConversion"/>
  </si>
  <si>
    <t>灰</t>
    <phoneticPr fontId="1" type="noConversion"/>
  </si>
  <si>
    <t>0.625,0.3,0.3</t>
    <phoneticPr fontId="1" type="noConversion"/>
  </si>
  <si>
    <t>深红</t>
    <phoneticPr fontId="1" type="noConversion"/>
  </si>
  <si>
    <t>0.8,0.3,0.3</t>
    <phoneticPr fontId="1" type="noConversion"/>
  </si>
  <si>
    <t>红</t>
    <phoneticPr fontId="1" type="noConversion"/>
  </si>
  <si>
    <t>1,0.65,1</t>
    <phoneticPr fontId="1" type="noConversion"/>
  </si>
  <si>
    <t>深紫</t>
    <phoneticPr fontId="1" type="noConversion"/>
  </si>
  <si>
    <t>紫</t>
    <phoneticPr fontId="1" type="noConversion"/>
  </si>
  <si>
    <t>0,0.1,1</t>
    <phoneticPr fontId="1" type="noConversion"/>
  </si>
  <si>
    <t>深蓝</t>
    <phoneticPr fontId="1" type="noConversion"/>
  </si>
  <si>
    <t>蓝</t>
    <phoneticPr fontId="1" type="noConversion"/>
  </si>
  <si>
    <t>0.25,1,1</t>
    <phoneticPr fontId="1" type="noConversion"/>
  </si>
  <si>
    <t>深青</t>
    <phoneticPr fontId="1" type="noConversion"/>
  </si>
  <si>
    <t>青</t>
    <phoneticPr fontId="1" type="noConversion"/>
  </si>
  <si>
    <t>0.36,0.78,1</t>
    <phoneticPr fontId="1" type="noConversion"/>
  </si>
  <si>
    <t>深绿</t>
    <phoneticPr fontId="1" type="noConversion"/>
  </si>
  <si>
    <t>绿</t>
    <phoneticPr fontId="1" type="noConversion"/>
  </si>
  <si>
    <t>0.9,1,0.4</t>
    <phoneticPr fontId="1" type="noConversion"/>
  </si>
  <si>
    <t>黄绿</t>
    <phoneticPr fontId="1" type="noConversion"/>
  </si>
  <si>
    <t>深黄</t>
    <phoneticPr fontId="1" type="noConversion"/>
  </si>
  <si>
    <t>浅黄</t>
    <phoneticPr fontId="1" type="noConversion"/>
  </si>
  <si>
    <t>棕黄</t>
    <phoneticPr fontId="1" type="noConversion"/>
  </si>
  <si>
    <t>0.8,0.8,0.8</t>
    <phoneticPr fontId="1" type="noConversion"/>
  </si>
  <si>
    <t>白</t>
    <phoneticPr fontId="1" type="noConversion"/>
  </si>
  <si>
    <t>blendMode</t>
    <phoneticPr fontId="1" type="noConversion"/>
  </si>
  <si>
    <t>Comment</t>
    <phoneticPr fontId="1" type="noConversion"/>
  </si>
  <si>
    <t>HeadTexName</t>
    <phoneticPr fontId="1" type="noConversion"/>
  </si>
  <si>
    <t>LaserHead_W0</t>
    <phoneticPr fontId="1" type="noConversion"/>
  </si>
  <si>
    <t>LaserHead_R0</t>
    <phoneticPr fontId="1" type="noConversion"/>
  </si>
  <si>
    <t>LaserHead_R0</t>
    <phoneticPr fontId="1" type="noConversion"/>
  </si>
  <si>
    <t>LaserHead_B0</t>
    <phoneticPr fontId="1" type="noConversion"/>
  </si>
  <si>
    <t>LaserHead_B0</t>
    <phoneticPr fontId="1" type="noConversion"/>
  </si>
  <si>
    <t>LaserHead_B0</t>
    <phoneticPr fontId="1" type="noConversion"/>
  </si>
  <si>
    <t>LaserHead_G0</t>
    <phoneticPr fontId="1" type="noConversion"/>
  </si>
  <si>
    <t>LaserHead_G0</t>
    <phoneticPr fontId="1" type="noConversion"/>
  </si>
  <si>
    <t>LaserHead_G0</t>
    <phoneticPr fontId="1" type="noConversion"/>
  </si>
  <si>
    <t>LaserHead_G0</t>
    <phoneticPr fontId="1" type="noConversion"/>
  </si>
  <si>
    <t>laserHeadTexName</t>
    <phoneticPr fontId="1" type="noConversion"/>
  </si>
  <si>
    <t>SourceTexId</t>
    <phoneticPr fontId="1" type="noConversion"/>
  </si>
  <si>
    <t>laserSourceTexId</t>
    <phoneticPr fontId="1" type="noConversion"/>
  </si>
  <si>
    <t>SuperType</t>
    <phoneticPr fontId="1" type="noConversion"/>
  </si>
  <si>
    <t>comment</t>
    <phoneticPr fontId="1" type="noConversion"/>
  </si>
  <si>
    <t>EnemyLaser</t>
    <phoneticPr fontId="1" type="noConversion"/>
  </si>
  <si>
    <t>EnemyLinearLaser</t>
    <phoneticPr fontId="1" type="noConversion"/>
  </si>
  <si>
    <t>IdPrefix</t>
    <phoneticPr fontId="1" type="noConversion"/>
  </si>
  <si>
    <t>IdPrefix</t>
    <phoneticPr fontId="1" type="noConversion"/>
  </si>
  <si>
    <t>laserType</t>
    <phoneticPr fontId="1" type="noConversion"/>
  </si>
  <si>
    <t>laserType</t>
    <phoneticPr fontId="1" type="noConversion"/>
  </si>
  <si>
    <t>SuperType(父类，1为laser,2为LinearLaser）</t>
    <phoneticPr fontId="1" type="noConversion"/>
  </si>
  <si>
    <t>colorsCount</t>
    <phoneticPr fontId="1" type="noConversion"/>
  </si>
  <si>
    <t>colors</t>
    <phoneticPr fontId="1" type="noConversion"/>
  </si>
  <si>
    <t>0,1,2,3,4,5,6,7,8,9,10,11,12,13,14,15</t>
    <phoneticPr fontId="1" type="noConversion"/>
  </si>
  <si>
    <t>EnemyCurveLaser</t>
    <phoneticPr fontId="1" type="noConversion"/>
  </si>
  <si>
    <t>materialName</t>
    <phoneticPr fontId="1" type="noConversion"/>
  </si>
  <si>
    <t>colorIndex</t>
    <phoneticPr fontId="1" type="noConversion"/>
  </si>
  <si>
    <t>普通曲线激光</t>
    <phoneticPr fontId="1" type="noConversion"/>
  </si>
  <si>
    <t>materialName</t>
    <phoneticPr fontId="1" type="noConversion"/>
  </si>
  <si>
    <t>MatPrefix</t>
    <phoneticPr fontId="1" type="noConversion"/>
  </si>
  <si>
    <t>CurveLaserMat00</t>
    <phoneticPr fontId="1" type="noConversion"/>
  </si>
  <si>
    <t>laserColor</t>
    <phoneticPr fontId="1" type="noConversion"/>
  </si>
  <si>
    <t>colorsCount</t>
    <phoneticPr fontId="1" type="noConversion"/>
  </si>
  <si>
    <t>CurveLaserMat10</t>
    <phoneticPr fontId="1" type="noConversion"/>
  </si>
  <si>
    <t>动画曲线激光1</t>
    <phoneticPr fontId="1" type="noConversion"/>
  </si>
  <si>
    <t>STGLaserAtlas0</t>
    <phoneticPr fontId="1" type="noConversion"/>
  </si>
  <si>
    <t>STGLaserAtlas0</t>
    <phoneticPr fontId="1" type="noConversion"/>
  </si>
  <si>
    <t>aniCount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</si>
</sst>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CurveLaser" form="unqualified">
              <xsd:complexType>
                <xsd:attribute name="id" form="unqualified" type="xsd:integer"/>
                <xsd:attribute name="comment" form="unqualified" type="xsd:string"/>
                <xsd:attribute name="materialName" form="unqualified" type="xsd:string"/>
                <xsd:attribute name="colorIndex" form="unqualified" type="xsd:integer"/>
                <xsd:attribute name="colorsCount" form="unqualified" type="xsd:integer"/>
                <xsd:attribute name="laserHeadTexName" form="unqualified" type="xsd:string"/>
                <xsd:attribute name="laserSourceTexId" form="unqualified" type="xsd:integer"/>
                <xsd:attribute name="aniCount" form="unqualified" type="xsd:integer"/>
                <xsd:attribute name="eliminateColor" form="unqualified" type="xsd:string"/>
              </xsd:complexType>
            </xsd:element>
          </xsd:sequence>
        </xsd:complexType>
      </xsd:element>
    </xsd:schema>
  </Schema>
  <Map ID="8" Name="CurveLaser映射" RootElement="Data" SchemaID="Schema3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2:L36" tableType="xml" totalsRowShown="0" connectionId="3">
  <autoFilter ref="A2:L36"/>
  <tableColumns count="12">
    <tableColumn id="1" uniqueName="id" name="id" dataDxfId="8">
      <calculatedColumnFormula>VLOOKUP(J3,LaserType!A$2:G$92,5)*100000 + VALUE(J3)*1000 + VALUE(K3)*10 + VALUE(L3)</calculatedColumnFormula>
      <xmlColumnPr mapId="8" xpath="/Data/CurveLaser/@id" xmlDataType="integer"/>
    </tableColumn>
    <tableColumn id="2" uniqueName="comment" name="comment">
      <calculatedColumnFormula>VLOOKUP(J3,LaserType!A$2:C$93,3)&amp;VLOOKUP(K3,BulletColor!A$2:E$25,5)</calculatedColumnFormula>
      <xmlColumnPr mapId="8" xpath="/Data/CurveLaser/@comment" xmlDataType="string"/>
    </tableColumn>
    <tableColumn id="13" uniqueName="materialName" name="materialName" dataDxfId="7">
      <calculatedColumnFormula>VLOOKUP(J3,LaserType!A$2:G$92,2)&amp;L3</calculatedColumnFormula>
      <xmlColumnPr mapId="8" xpath="/Data/CurveLaser/@materialName" xmlDataType="string"/>
    </tableColumn>
    <tableColumn id="3" uniqueName="colorIndex" name="colorIndex" dataDxfId="6">
      <calculatedColumnFormula>K3</calculatedColumnFormula>
      <xmlColumnPr mapId="8" xpath="/Data/CurveLaser/@colorIndex" xmlDataType="integer"/>
    </tableColumn>
    <tableColumn id="7" uniqueName="colorsCount" name="colorsCount" dataDxfId="5">
      <calculatedColumnFormula>VLOOKUP(J3,LaserType!A$2:Z$92,8)</calculatedColumnFormula>
      <xmlColumnPr mapId="8" xpath="/Data/CurveLaser/@colorsCount" xmlDataType="integer"/>
    </tableColumn>
    <tableColumn id="4" uniqueName="laserHeadTexName" name="laserHeadTexName">
      <calculatedColumnFormula>VLOOKUP(K3,BulletColor!A$2:E17,2)</calculatedColumnFormula>
      <xmlColumnPr mapId="8" xpath="/Data/CurveLaser/@laserHeadTexName" xmlDataType="string"/>
    </tableColumn>
    <tableColumn id="5" uniqueName="laserSourceTexId" name="laserSourceTexId" dataDxfId="4">
      <calculatedColumnFormula>VLOOKUP(K3,BulletColor!A$2:E17,3)</calculatedColumnFormula>
      <xmlColumnPr mapId="8" xpath="/Data/CurveLaser/@laserSourceTexId" xmlDataType="integer"/>
    </tableColumn>
    <tableColumn id="10" uniqueName="aniCount" name="aniCount" dataDxfId="3">
      <calculatedColumnFormula>VLOOKUP(J3,LaserType!A$2:Z10,10)</calculatedColumnFormula>
      <xmlColumnPr mapId="8" xpath="/Data/CurveLaser/@aniCount" xmlDataType="integer"/>
    </tableColumn>
    <tableColumn id="6" uniqueName="eliminateColor" name="eliminateColor">
      <calculatedColumnFormula>VLOOKUP(K3,BulletColor!A$2:E17,4)</calculatedColumnFormula>
      <xmlColumnPr mapId="8" xpath="/Data/CurveLaser/@eliminateColor" xmlDataType="string"/>
    </tableColumn>
    <tableColumn id="12" uniqueName="12" name="laserType" dataDxfId="2"/>
    <tableColumn id="8" uniqueName="8" name="laserColor" dataDxfId="1"/>
    <tableColumn id="9" uniqueName="9" name="blendMod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nearLaser"/>
  <dimension ref="A2:L36"/>
  <sheetViews>
    <sheetView tabSelected="1" workbookViewId="0">
      <selection activeCell="I3" sqref="I3:I36"/>
    </sheetView>
  </sheetViews>
  <sheetFormatPr defaultRowHeight="13.5"/>
  <cols>
    <col min="1" max="1" width="13.625" customWidth="1"/>
    <col min="2" max="2" width="18" customWidth="1"/>
    <col min="3" max="3" width="20.25" customWidth="1"/>
    <col min="4" max="4" width="18.125" customWidth="1"/>
    <col min="5" max="5" width="27.625" customWidth="1"/>
    <col min="6" max="7" width="22.75" bestFit="1" customWidth="1"/>
    <col min="8" max="8" width="12.75" bestFit="1" customWidth="1"/>
    <col min="9" max="10" width="14.75" customWidth="1"/>
    <col min="11" max="11" width="16.75" customWidth="1"/>
    <col min="12" max="12" width="21" customWidth="1"/>
    <col min="13" max="13" width="22.25" customWidth="1"/>
  </cols>
  <sheetData>
    <row r="2" spans="1:12">
      <c r="A2" t="s">
        <v>2</v>
      </c>
      <c r="B2" t="s">
        <v>0</v>
      </c>
      <c r="C2" t="s">
        <v>60</v>
      </c>
      <c r="D2" t="s">
        <v>61</v>
      </c>
      <c r="E2" t="s">
        <v>67</v>
      </c>
      <c r="F2" t="s">
        <v>44</v>
      </c>
      <c r="G2" t="s">
        <v>46</v>
      </c>
      <c r="H2" t="s">
        <v>72</v>
      </c>
      <c r="I2" t="s">
        <v>1</v>
      </c>
      <c r="J2" t="s">
        <v>54</v>
      </c>
      <c r="K2" t="s">
        <v>66</v>
      </c>
      <c r="L2" t="s">
        <v>31</v>
      </c>
    </row>
    <row r="3" spans="1:12">
      <c r="A3" s="1">
        <f>VLOOKUP(J3,LaserType!A$2:G$92,5)*100000 + VALUE(J3)*1000 + VALUE(K3)*10 + VALUE(L3)</f>
        <v>401000</v>
      </c>
      <c r="B3" s="2" t="str">
        <f>VLOOKUP(J3,LaserType!A$2:C$93,3)&amp;VLOOKUP(K3,BulletColor!A$2:E$25,5)</f>
        <v>普通曲线激光灰</v>
      </c>
      <c r="C3" s="2" t="str">
        <f>VLOOKUP(J3,LaserType!A$2:G$92,2)&amp;L3</f>
        <v>CurveLaserMat000</v>
      </c>
      <c r="D3" s="1">
        <f t="shared" ref="D3:D34" si="0">K3</f>
        <v>0</v>
      </c>
      <c r="E3" s="1">
        <f>VLOOKUP(J3,LaserType!A$2:Z$92,8)</f>
        <v>16</v>
      </c>
      <c r="F3" s="2" t="str">
        <f>VLOOKUP(K3,BulletColor!A$2:E17,2)</f>
        <v>LaserHead_W0</v>
      </c>
      <c r="G3" s="1">
        <f>VLOOKUP(K3,BulletColor!A$2:E17,3)</f>
        <v>200000</v>
      </c>
      <c r="H3" s="1">
        <f>VLOOKUP(J3,LaserType!A$2:Z10,10)</f>
        <v>0</v>
      </c>
      <c r="I3" s="2" t="str">
        <f>VLOOKUP(K3,BulletColor!A$2:E17,4)</f>
        <v>0.5,0.5,0.5</v>
      </c>
      <c r="J3">
        <v>1</v>
      </c>
      <c r="K3">
        <v>0</v>
      </c>
      <c r="L3">
        <v>0</v>
      </c>
    </row>
    <row r="4" spans="1:12">
      <c r="A4" s="1">
        <f>VLOOKUP(J4,LaserType!A$2:G$92,5)*100000 + VALUE(J4)*1000 + VALUE(K4)*10 + VALUE(L4)</f>
        <v>401001</v>
      </c>
      <c r="B4" s="2" t="str">
        <f>VLOOKUP(J4,LaserType!A$2:C$93,3)&amp;VLOOKUP(K4,BulletColor!A$2:E$25,5)</f>
        <v>普通曲线激光灰</v>
      </c>
      <c r="C4" s="2" t="str">
        <f>VLOOKUP(J4,LaserType!A$2:G$92,2)&amp;L4</f>
        <v>CurveLaserMat001</v>
      </c>
      <c r="D4" s="1">
        <f t="shared" si="0"/>
        <v>0</v>
      </c>
      <c r="E4" s="1">
        <f>VLOOKUP(J4,LaserType!A$2:Z$92,8)</f>
        <v>16</v>
      </c>
      <c r="F4" s="2" t="str">
        <f>VLOOKUP(K4,BulletColor!A$2:E18,2)</f>
        <v>LaserHead_W0</v>
      </c>
      <c r="G4" s="1">
        <f>VLOOKUP(K4,BulletColor!A$2:E18,3)</f>
        <v>200000</v>
      </c>
      <c r="H4" s="1">
        <f>VLOOKUP(J4,LaserType!A$2:Z11,10)</f>
        <v>0</v>
      </c>
      <c r="I4" s="2" t="str">
        <f>VLOOKUP(K4,BulletColor!A$2:E18,4)</f>
        <v>0.5,0.5,0.5</v>
      </c>
      <c r="J4">
        <v>1</v>
      </c>
      <c r="K4">
        <v>0</v>
      </c>
      <c r="L4">
        <v>1</v>
      </c>
    </row>
    <row r="5" spans="1:12">
      <c r="A5" s="1">
        <f>VLOOKUP(J5,LaserType!A$2:G$92,5)*100000 + VALUE(J5)*1000 + VALUE(K5)*10 + VALUE(L5)</f>
        <v>401010</v>
      </c>
      <c r="B5" s="2" t="str">
        <f>VLOOKUP(J5,LaserType!A$2:C$93,3)&amp;VLOOKUP(K5,BulletColor!A$2:E$25,5)</f>
        <v>普通曲线激光深红</v>
      </c>
      <c r="C5" s="2" t="str">
        <f>VLOOKUP(J5,LaserType!A$2:G$92,2)&amp;L5</f>
        <v>CurveLaserMat000</v>
      </c>
      <c r="D5" s="1">
        <f t="shared" si="0"/>
        <v>1</v>
      </c>
      <c r="E5" s="1">
        <f>VLOOKUP(J5,LaserType!A$2:Z$92,8)</f>
        <v>16</v>
      </c>
      <c r="F5" s="2" t="str">
        <f>VLOOKUP(K5,BulletColor!A$2:E19,2)</f>
        <v>LaserHead_R0</v>
      </c>
      <c r="G5" s="1">
        <f>VLOOKUP(K5,BulletColor!A$2:E19,3)</f>
        <v>200010</v>
      </c>
      <c r="H5" s="1">
        <f>VLOOKUP(J5,LaserType!A$2:Z12,10)</f>
        <v>0</v>
      </c>
      <c r="I5" s="2" t="str">
        <f>VLOOKUP(K5,BulletColor!A$2:E19,4)</f>
        <v>0.625,0.3,0.3</v>
      </c>
      <c r="J5">
        <v>1</v>
      </c>
      <c r="K5">
        <v>1</v>
      </c>
      <c r="L5">
        <v>0</v>
      </c>
    </row>
    <row r="6" spans="1:12">
      <c r="A6" s="1">
        <f>VLOOKUP(J6,LaserType!A$2:G$92,5)*100000 + VALUE(J6)*1000 + VALUE(K6)*10 + VALUE(L6)</f>
        <v>401011</v>
      </c>
      <c r="B6" s="2" t="str">
        <f>VLOOKUP(J6,LaserType!A$2:C$93,3)&amp;VLOOKUP(K6,BulletColor!A$2:E$25,5)</f>
        <v>普通曲线激光深红</v>
      </c>
      <c r="C6" s="2" t="str">
        <f>VLOOKUP(J6,LaserType!A$2:G$92,2)&amp;L6</f>
        <v>CurveLaserMat001</v>
      </c>
      <c r="D6" s="1">
        <f t="shared" si="0"/>
        <v>1</v>
      </c>
      <c r="E6" s="1">
        <f>VLOOKUP(J6,LaserType!A$2:Z$92,8)</f>
        <v>16</v>
      </c>
      <c r="F6" s="2" t="str">
        <f>VLOOKUP(K6,BulletColor!A$2:E20,2)</f>
        <v>LaserHead_R0</v>
      </c>
      <c r="G6" s="1">
        <f>VLOOKUP(K6,BulletColor!A$2:E20,3)</f>
        <v>200010</v>
      </c>
      <c r="H6" s="1">
        <f>VLOOKUP(J6,LaserType!A$2:Z13,10)</f>
        <v>0</v>
      </c>
      <c r="I6" s="2" t="str">
        <f>VLOOKUP(K6,BulletColor!A$2:E20,4)</f>
        <v>0.625,0.3,0.3</v>
      </c>
      <c r="J6">
        <v>1</v>
      </c>
      <c r="K6">
        <v>1</v>
      </c>
      <c r="L6">
        <v>1</v>
      </c>
    </row>
    <row r="7" spans="1:12">
      <c r="A7" s="1">
        <f>VLOOKUP(J7,LaserType!A$2:G$92,5)*100000 + VALUE(J7)*1000 + VALUE(K7)*10 + VALUE(L7)</f>
        <v>401020</v>
      </c>
      <c r="B7" s="2" t="str">
        <f>VLOOKUP(J7,LaserType!A$2:C$93,3)&amp;VLOOKUP(K7,BulletColor!A$2:E$25,5)</f>
        <v>普通曲线激光红</v>
      </c>
      <c r="C7" s="2" t="str">
        <f>VLOOKUP(J7,LaserType!A$2:G$92,2)&amp;L7</f>
        <v>CurveLaserMat000</v>
      </c>
      <c r="D7" s="1">
        <f t="shared" si="0"/>
        <v>2</v>
      </c>
      <c r="E7" s="1">
        <f>VLOOKUP(J7,LaserType!A$2:Z$92,8)</f>
        <v>16</v>
      </c>
      <c r="F7" s="2" t="str">
        <f>VLOOKUP(K7,BulletColor!A$2:E21,2)</f>
        <v>LaserHead_R0</v>
      </c>
      <c r="G7" s="1">
        <f>VLOOKUP(K7,BulletColor!A$2:E21,3)</f>
        <v>200010</v>
      </c>
      <c r="H7" s="1">
        <f>VLOOKUP(J7,LaserType!A$2:Z14,10)</f>
        <v>0</v>
      </c>
      <c r="I7" s="2" t="str">
        <f>VLOOKUP(K7,BulletColor!A$2:E21,4)</f>
        <v>0.8,0.3,0.3</v>
      </c>
      <c r="J7">
        <v>1</v>
      </c>
      <c r="K7">
        <v>2</v>
      </c>
      <c r="L7">
        <v>0</v>
      </c>
    </row>
    <row r="8" spans="1:12">
      <c r="A8" s="1">
        <f>VLOOKUP(J8,LaserType!A$2:G$92,5)*100000 + VALUE(J8)*1000 + VALUE(K8)*10 + VALUE(L8)</f>
        <v>401021</v>
      </c>
      <c r="B8" s="2" t="str">
        <f>VLOOKUP(J8,LaserType!A$2:C$93,3)&amp;VLOOKUP(K8,BulletColor!A$2:E$25,5)</f>
        <v>普通曲线激光红</v>
      </c>
      <c r="C8" s="2" t="str">
        <f>VLOOKUP(J8,LaserType!A$2:G$92,2)&amp;L8</f>
        <v>CurveLaserMat001</v>
      </c>
      <c r="D8" s="1">
        <f t="shared" si="0"/>
        <v>2</v>
      </c>
      <c r="E8" s="1">
        <f>VLOOKUP(J8,LaserType!A$2:Z$92,8)</f>
        <v>16</v>
      </c>
      <c r="F8" s="2" t="str">
        <f>VLOOKUP(K8,BulletColor!A$2:E22,2)</f>
        <v>LaserHead_R0</v>
      </c>
      <c r="G8" s="1">
        <f>VLOOKUP(K8,BulletColor!A$2:E22,3)</f>
        <v>200010</v>
      </c>
      <c r="H8" s="1">
        <f>VLOOKUP(J8,LaserType!A$2:Z15,10)</f>
        <v>0</v>
      </c>
      <c r="I8" s="2" t="str">
        <f>VLOOKUP(K8,BulletColor!A$2:E22,4)</f>
        <v>0.8,0.3,0.3</v>
      </c>
      <c r="J8">
        <v>1</v>
      </c>
      <c r="K8">
        <v>2</v>
      </c>
      <c r="L8">
        <v>1</v>
      </c>
    </row>
    <row r="9" spans="1:12">
      <c r="A9" s="1">
        <f>VLOOKUP(J9,LaserType!A$2:G$92,5)*100000 + VALUE(J9)*1000 + VALUE(K9)*10 + VALUE(L9)</f>
        <v>401030</v>
      </c>
      <c r="B9" s="2" t="str">
        <f>VLOOKUP(J9,LaserType!A$2:C$93,3)&amp;VLOOKUP(K9,BulletColor!A$2:E$25,5)</f>
        <v>普通曲线激光深紫</v>
      </c>
      <c r="C9" s="2" t="str">
        <f>VLOOKUP(J9,LaserType!A$2:G$92,2)&amp;L9</f>
        <v>CurveLaserMat000</v>
      </c>
      <c r="D9" s="1">
        <f t="shared" si="0"/>
        <v>3</v>
      </c>
      <c r="E9" s="1">
        <f>VLOOKUP(J9,LaserType!A$2:Z$92,8)</f>
        <v>16</v>
      </c>
      <c r="F9" s="2" t="str">
        <f>VLOOKUP(K9,BulletColor!A$2:E23,2)</f>
        <v>LaserHead_B0</v>
      </c>
      <c r="G9" s="1">
        <f>VLOOKUP(K9,BulletColor!A$2:E23,3)</f>
        <v>200030</v>
      </c>
      <c r="H9" s="1">
        <f>VLOOKUP(J9,LaserType!A$2:Z16,10)</f>
        <v>0</v>
      </c>
      <c r="I9" s="2" t="str">
        <f>VLOOKUP(K9,BulletColor!A$2:E23,4)</f>
        <v>1,0.65,1</v>
      </c>
      <c r="J9">
        <v>1</v>
      </c>
      <c r="K9">
        <v>3</v>
      </c>
      <c r="L9">
        <v>0</v>
      </c>
    </row>
    <row r="10" spans="1:12">
      <c r="A10" s="1">
        <f>VLOOKUP(J10,LaserType!A$2:G$92,5)*100000 + VALUE(J10)*1000 + VALUE(K10)*10 + VALUE(L10)</f>
        <v>401031</v>
      </c>
      <c r="B10" s="2" t="str">
        <f>VLOOKUP(J10,LaserType!A$2:C$93,3)&amp;VLOOKUP(K10,BulletColor!A$2:E$25,5)</f>
        <v>普通曲线激光深紫</v>
      </c>
      <c r="C10" s="2" t="str">
        <f>VLOOKUP(J10,LaserType!A$2:G$92,2)&amp;L10</f>
        <v>CurveLaserMat001</v>
      </c>
      <c r="D10" s="1">
        <f t="shared" si="0"/>
        <v>3</v>
      </c>
      <c r="E10" s="1">
        <f>VLOOKUP(J10,LaserType!A$2:Z$92,8)</f>
        <v>16</v>
      </c>
      <c r="F10" s="2" t="str">
        <f>VLOOKUP(K10,BulletColor!A$2:E24,2)</f>
        <v>LaserHead_B0</v>
      </c>
      <c r="G10" s="1">
        <f>VLOOKUP(K10,BulletColor!A$2:E24,3)</f>
        <v>200030</v>
      </c>
      <c r="H10" s="1">
        <f>VLOOKUP(J10,LaserType!A$2:Z17,10)</f>
        <v>0</v>
      </c>
      <c r="I10" s="2" t="str">
        <f>VLOOKUP(K10,BulletColor!A$2:E24,4)</f>
        <v>1,0.65,1</v>
      </c>
      <c r="J10">
        <v>1</v>
      </c>
      <c r="K10">
        <v>3</v>
      </c>
      <c r="L10">
        <v>1</v>
      </c>
    </row>
    <row r="11" spans="1:12">
      <c r="A11" s="1">
        <f>VLOOKUP(J11,LaserType!A$2:G$92,5)*100000 + VALUE(J11)*1000 + VALUE(K11)*10 + VALUE(L11)</f>
        <v>401040</v>
      </c>
      <c r="B11" s="2" t="str">
        <f>VLOOKUP(J11,LaserType!A$2:C$93,3)&amp;VLOOKUP(K11,BulletColor!A$2:E$25,5)</f>
        <v>普通曲线激光紫</v>
      </c>
      <c r="C11" s="2" t="str">
        <f>VLOOKUP(J11,LaserType!A$2:G$92,2)&amp;L11</f>
        <v>CurveLaserMat000</v>
      </c>
      <c r="D11" s="1">
        <f t="shared" si="0"/>
        <v>4</v>
      </c>
      <c r="E11" s="1">
        <f>VLOOKUP(J11,LaserType!A$2:Z$92,8)</f>
        <v>16</v>
      </c>
      <c r="F11" s="2" t="str">
        <f>VLOOKUP(K11,BulletColor!A$2:E25,2)</f>
        <v>LaserHead_B0</v>
      </c>
      <c r="G11" s="1">
        <f>VLOOKUP(K11,BulletColor!A$2:E25,3)</f>
        <v>200030</v>
      </c>
      <c r="H11" s="1">
        <f>VLOOKUP(J11,LaserType!A$2:Z18,10)</f>
        <v>0</v>
      </c>
      <c r="I11" s="2" t="str">
        <f>VLOOKUP(K11,BulletColor!A$2:E25,4)</f>
        <v>1,0.65,1</v>
      </c>
      <c r="J11">
        <v>1</v>
      </c>
      <c r="K11">
        <v>4</v>
      </c>
      <c r="L11">
        <v>0</v>
      </c>
    </row>
    <row r="12" spans="1:12">
      <c r="A12" s="1">
        <f>VLOOKUP(J12,LaserType!A$2:G$92,5)*100000 + VALUE(J12)*1000 + VALUE(K12)*10 + VALUE(L12)</f>
        <v>401041</v>
      </c>
      <c r="B12" s="2" t="str">
        <f>VLOOKUP(J12,LaserType!A$2:C$93,3)&amp;VLOOKUP(K12,BulletColor!A$2:E$25,5)</f>
        <v>普通曲线激光紫</v>
      </c>
      <c r="C12" s="2" t="str">
        <f>VLOOKUP(J12,LaserType!A$2:G$92,2)&amp;L12</f>
        <v>CurveLaserMat001</v>
      </c>
      <c r="D12" s="1">
        <f t="shared" si="0"/>
        <v>4</v>
      </c>
      <c r="E12" s="1">
        <f>VLOOKUP(J12,LaserType!A$2:Z$92,8)</f>
        <v>16</v>
      </c>
      <c r="F12" s="2" t="str">
        <f>VLOOKUP(K12,BulletColor!A$2:E26,2)</f>
        <v>LaserHead_B0</v>
      </c>
      <c r="G12" s="1">
        <f>VLOOKUP(K12,BulletColor!A$2:E26,3)</f>
        <v>200030</v>
      </c>
      <c r="H12" s="1">
        <f>VLOOKUP(J12,LaserType!A$2:Z19,10)</f>
        <v>0</v>
      </c>
      <c r="I12" s="2" t="str">
        <f>VLOOKUP(K12,BulletColor!A$2:E26,4)</f>
        <v>1,0.65,1</v>
      </c>
      <c r="J12">
        <v>1</v>
      </c>
      <c r="K12">
        <v>4</v>
      </c>
      <c r="L12">
        <v>1</v>
      </c>
    </row>
    <row r="13" spans="1:12">
      <c r="A13" s="1">
        <f>VLOOKUP(J13,LaserType!A$2:G$92,5)*100000 + VALUE(J13)*1000 + VALUE(K13)*10 + VALUE(L13)</f>
        <v>401050</v>
      </c>
      <c r="B13" s="2" t="str">
        <f>VLOOKUP(J13,LaserType!A$2:C$93,3)&amp;VLOOKUP(K13,BulletColor!A$2:E$25,5)</f>
        <v>普通曲线激光深蓝</v>
      </c>
      <c r="C13" s="2" t="str">
        <f>VLOOKUP(J13,LaserType!A$2:G$92,2)&amp;L13</f>
        <v>CurveLaserMat000</v>
      </c>
      <c r="D13" s="1">
        <f t="shared" si="0"/>
        <v>5</v>
      </c>
      <c r="E13" s="1">
        <f>VLOOKUP(J13,LaserType!A$2:Z$92,8)</f>
        <v>16</v>
      </c>
      <c r="F13" s="2" t="str">
        <f>VLOOKUP(K13,BulletColor!A$2:E27,2)</f>
        <v>LaserHead_B0</v>
      </c>
      <c r="G13" s="1">
        <f>VLOOKUP(K13,BulletColor!A$2:E27,3)</f>
        <v>200050</v>
      </c>
      <c r="H13" s="1">
        <f>VLOOKUP(J13,LaserType!A$2:Z20,10)</f>
        <v>0</v>
      </c>
      <c r="I13" s="2" t="str">
        <f>VLOOKUP(K13,BulletColor!A$2:E27,4)</f>
        <v>0,0.1,1</v>
      </c>
      <c r="J13">
        <v>1</v>
      </c>
      <c r="K13">
        <v>5</v>
      </c>
      <c r="L13">
        <v>0</v>
      </c>
    </row>
    <row r="14" spans="1:12">
      <c r="A14" s="1">
        <f>VLOOKUP(J14,LaserType!A$2:G$92,5)*100000 + VALUE(J14)*1000 + VALUE(K14)*10 + VALUE(L14)</f>
        <v>401051</v>
      </c>
      <c r="B14" s="2" t="str">
        <f>VLOOKUP(J14,LaserType!A$2:C$93,3)&amp;VLOOKUP(K14,BulletColor!A$2:E$25,5)</f>
        <v>普通曲线激光深蓝</v>
      </c>
      <c r="C14" s="2" t="str">
        <f>VLOOKUP(J14,LaserType!A$2:G$92,2)&amp;L14</f>
        <v>CurveLaserMat001</v>
      </c>
      <c r="D14" s="1">
        <f t="shared" si="0"/>
        <v>5</v>
      </c>
      <c r="E14" s="1">
        <f>VLOOKUP(J14,LaserType!A$2:Z$92,8)</f>
        <v>16</v>
      </c>
      <c r="F14" s="2" t="str">
        <f>VLOOKUP(K14,BulletColor!A$2:E28,2)</f>
        <v>LaserHead_B0</v>
      </c>
      <c r="G14" s="1">
        <f>VLOOKUP(K14,BulletColor!A$2:E28,3)</f>
        <v>200050</v>
      </c>
      <c r="H14" s="1">
        <f>VLOOKUP(J14,LaserType!A$2:Z21,10)</f>
        <v>0</v>
      </c>
      <c r="I14" s="2" t="str">
        <f>VLOOKUP(K14,BulletColor!A$2:E28,4)</f>
        <v>0,0.1,1</v>
      </c>
      <c r="J14">
        <v>1</v>
      </c>
      <c r="K14">
        <v>5</v>
      </c>
      <c r="L14">
        <v>1</v>
      </c>
    </row>
    <row r="15" spans="1:12">
      <c r="A15" s="1">
        <f>VLOOKUP(J15,LaserType!A$2:G$92,5)*100000 + VALUE(J15)*1000 + VALUE(K15)*10 + VALUE(L15)</f>
        <v>401060</v>
      </c>
      <c r="B15" s="2" t="str">
        <f>VLOOKUP(J15,LaserType!A$2:C$93,3)&amp;VLOOKUP(K15,BulletColor!A$2:E$25,5)</f>
        <v>普通曲线激光蓝</v>
      </c>
      <c r="C15" s="2" t="str">
        <f>VLOOKUP(J15,LaserType!A$2:G$92,2)&amp;L15</f>
        <v>CurveLaserMat000</v>
      </c>
      <c r="D15" s="1">
        <f t="shared" si="0"/>
        <v>6</v>
      </c>
      <c r="E15" s="1">
        <f>VLOOKUP(J15,LaserType!A$2:Z$92,8)</f>
        <v>16</v>
      </c>
      <c r="F15" s="2" t="str">
        <f>VLOOKUP(K15,BulletColor!A$2:E29,2)</f>
        <v>LaserHead_B0</v>
      </c>
      <c r="G15" s="1">
        <f>VLOOKUP(K15,BulletColor!A$2:E29,3)</f>
        <v>200050</v>
      </c>
      <c r="H15" s="1">
        <f>VLOOKUP(J15,LaserType!A$2:Z22,10)</f>
        <v>0</v>
      </c>
      <c r="I15" s="2" t="str">
        <f>VLOOKUP(K15,BulletColor!A$2:E29,4)</f>
        <v>0,0.1,1</v>
      </c>
      <c r="J15">
        <v>1</v>
      </c>
      <c r="K15">
        <v>6</v>
      </c>
      <c r="L15">
        <v>0</v>
      </c>
    </row>
    <row r="16" spans="1:12">
      <c r="A16" s="1">
        <f>VLOOKUP(J16,LaserType!A$2:G$92,5)*100000 + VALUE(J16)*1000 + VALUE(K16)*10 + VALUE(L16)</f>
        <v>401061</v>
      </c>
      <c r="B16" s="2" t="str">
        <f>VLOOKUP(J16,LaserType!A$2:C$93,3)&amp;VLOOKUP(K16,BulletColor!A$2:E$25,5)</f>
        <v>普通曲线激光蓝</v>
      </c>
      <c r="C16" s="2" t="str">
        <f>VLOOKUP(J16,LaserType!A$2:G$92,2)&amp;L16</f>
        <v>CurveLaserMat001</v>
      </c>
      <c r="D16" s="1">
        <f t="shared" si="0"/>
        <v>6</v>
      </c>
      <c r="E16" s="1">
        <f>VLOOKUP(J16,LaserType!A$2:Z$92,8)</f>
        <v>16</v>
      </c>
      <c r="F16" s="2" t="str">
        <f>VLOOKUP(K16,BulletColor!A$2:E30,2)</f>
        <v>LaserHead_B0</v>
      </c>
      <c r="G16" s="1">
        <f>VLOOKUP(K16,BulletColor!A$2:E30,3)</f>
        <v>200050</v>
      </c>
      <c r="H16" s="1">
        <f>VLOOKUP(J16,LaserType!A$2:Z23,10)</f>
        <v>0</v>
      </c>
      <c r="I16" s="2" t="str">
        <f>VLOOKUP(K16,BulletColor!A$2:E30,4)</f>
        <v>0,0.1,1</v>
      </c>
      <c r="J16">
        <v>1</v>
      </c>
      <c r="K16">
        <v>6</v>
      </c>
      <c r="L16">
        <v>1</v>
      </c>
    </row>
    <row r="17" spans="1:12">
      <c r="A17" s="1">
        <f>VLOOKUP(J17,LaserType!A$2:G$92,5)*100000 + VALUE(J17)*1000 + VALUE(K17)*10 + VALUE(L17)</f>
        <v>401070</v>
      </c>
      <c r="B17" s="2" t="str">
        <f>VLOOKUP(J17,LaserType!A$2:C$93,3)&amp;VLOOKUP(K17,BulletColor!A$2:E$25,5)</f>
        <v>普通曲线激光深青</v>
      </c>
      <c r="C17" s="2" t="str">
        <f>VLOOKUP(J17,LaserType!A$2:G$92,2)&amp;L17</f>
        <v>CurveLaserMat000</v>
      </c>
      <c r="D17" s="1">
        <f t="shared" si="0"/>
        <v>7</v>
      </c>
      <c r="E17" s="1">
        <f>VLOOKUP(J17,LaserType!A$2:Z$92,8)</f>
        <v>16</v>
      </c>
      <c r="F17" s="2" t="str">
        <f>VLOOKUP(K17,BulletColor!A$2:E31,2)</f>
        <v>LaserHead_G0</v>
      </c>
      <c r="G17" s="1">
        <f>VLOOKUP(K17,BulletColor!A$2:E31,3)</f>
        <v>200070</v>
      </c>
      <c r="H17" s="1">
        <f>VLOOKUP(J17,LaserType!A$2:Z24,10)</f>
        <v>0</v>
      </c>
      <c r="I17" s="2" t="str">
        <f>VLOOKUP(K17,BulletColor!A$2:E31,4)</f>
        <v>0.25,1,1</v>
      </c>
      <c r="J17">
        <v>1</v>
      </c>
      <c r="K17">
        <v>7</v>
      </c>
      <c r="L17">
        <v>0</v>
      </c>
    </row>
    <row r="18" spans="1:12">
      <c r="A18" s="1">
        <f>VLOOKUP(J18,LaserType!A$2:G$92,5)*100000 + VALUE(J18)*1000 + VALUE(K18)*10 + VALUE(L18)</f>
        <v>401071</v>
      </c>
      <c r="B18" s="2" t="str">
        <f>VLOOKUP(J18,LaserType!A$2:C$93,3)&amp;VLOOKUP(K18,BulletColor!A$2:E$25,5)</f>
        <v>普通曲线激光深青</v>
      </c>
      <c r="C18" s="2" t="str">
        <f>VLOOKUP(J18,LaserType!A$2:G$92,2)&amp;L18</f>
        <v>CurveLaserMat001</v>
      </c>
      <c r="D18" s="1">
        <f t="shared" si="0"/>
        <v>7</v>
      </c>
      <c r="E18" s="1">
        <f>VLOOKUP(J18,LaserType!A$2:Z$92,8)</f>
        <v>16</v>
      </c>
      <c r="F18" s="2" t="str">
        <f>VLOOKUP(K18,BulletColor!A$2:E32,2)</f>
        <v>LaserHead_G0</v>
      </c>
      <c r="G18" s="1">
        <f>VLOOKUP(K18,BulletColor!A$2:E32,3)</f>
        <v>200070</v>
      </c>
      <c r="H18" s="1">
        <f>VLOOKUP(J18,LaserType!A$2:Z25,10)</f>
        <v>0</v>
      </c>
      <c r="I18" s="2" t="str">
        <f>VLOOKUP(K18,BulletColor!A$2:E32,4)</f>
        <v>0.25,1,1</v>
      </c>
      <c r="J18">
        <v>1</v>
      </c>
      <c r="K18">
        <v>7</v>
      </c>
      <c r="L18">
        <v>1</v>
      </c>
    </row>
    <row r="19" spans="1:12">
      <c r="A19" s="1">
        <f>VLOOKUP(J19,LaserType!A$2:G$92,5)*100000 + VALUE(J19)*1000 + VALUE(K19)*10 + VALUE(L19)</f>
        <v>401080</v>
      </c>
      <c r="B19" s="2" t="str">
        <f>VLOOKUP(J19,LaserType!A$2:C$93,3)&amp;VLOOKUP(K19,BulletColor!A$2:E$25,5)</f>
        <v>普通曲线激光青</v>
      </c>
      <c r="C19" s="2" t="str">
        <f>VLOOKUP(J19,LaserType!A$2:G$92,2)&amp;L19</f>
        <v>CurveLaserMat000</v>
      </c>
      <c r="D19" s="1">
        <f t="shared" si="0"/>
        <v>8</v>
      </c>
      <c r="E19" s="1">
        <f>VLOOKUP(J19,LaserType!A$2:Z$92,8)</f>
        <v>16</v>
      </c>
      <c r="F19" s="2" t="str">
        <f>VLOOKUP(K19,BulletColor!A$2:E33,2)</f>
        <v>LaserHead_G0</v>
      </c>
      <c r="G19" s="1">
        <f>VLOOKUP(K19,BulletColor!A$2:E33,3)</f>
        <v>200070</v>
      </c>
      <c r="H19" s="1">
        <f>VLOOKUP(J19,LaserType!A$2:Z26,10)</f>
        <v>0</v>
      </c>
      <c r="I19" s="2" t="str">
        <f>VLOOKUP(K19,BulletColor!A$2:E33,4)</f>
        <v>0.25,1,1</v>
      </c>
      <c r="J19">
        <v>1</v>
      </c>
      <c r="K19">
        <v>8</v>
      </c>
      <c r="L19">
        <v>0</v>
      </c>
    </row>
    <row r="20" spans="1:12">
      <c r="A20" s="1">
        <f>VLOOKUP(J20,LaserType!A$2:G$92,5)*100000 + VALUE(J20)*1000 + VALUE(K20)*10 + VALUE(L20)</f>
        <v>401081</v>
      </c>
      <c r="B20" s="2" t="str">
        <f>VLOOKUP(J20,LaserType!A$2:C$93,3)&amp;VLOOKUP(K20,BulletColor!A$2:E$25,5)</f>
        <v>普通曲线激光青</v>
      </c>
      <c r="C20" s="2" t="str">
        <f>VLOOKUP(J20,LaserType!A$2:G$92,2)&amp;L20</f>
        <v>CurveLaserMat001</v>
      </c>
      <c r="D20" s="1">
        <f t="shared" si="0"/>
        <v>8</v>
      </c>
      <c r="E20" s="1">
        <f>VLOOKUP(J20,LaserType!A$2:Z$92,8)</f>
        <v>16</v>
      </c>
      <c r="F20" s="2" t="str">
        <f>VLOOKUP(K20,BulletColor!A$2:E34,2)</f>
        <v>LaserHead_G0</v>
      </c>
      <c r="G20" s="1">
        <f>VLOOKUP(K20,BulletColor!A$2:E34,3)</f>
        <v>200070</v>
      </c>
      <c r="H20" s="1">
        <f>VLOOKUP(J20,LaserType!A$2:Z27,10)</f>
        <v>0</v>
      </c>
      <c r="I20" s="2" t="str">
        <f>VLOOKUP(K20,BulletColor!A$2:E34,4)</f>
        <v>0.25,1,1</v>
      </c>
      <c r="J20">
        <v>1</v>
      </c>
      <c r="K20">
        <v>8</v>
      </c>
      <c r="L20">
        <v>1</v>
      </c>
    </row>
    <row r="21" spans="1:12">
      <c r="A21" s="1">
        <f>VLOOKUP(J21,LaserType!A$2:G$92,5)*100000 + VALUE(J21)*1000 + VALUE(K21)*10 + VALUE(L21)</f>
        <v>401090</v>
      </c>
      <c r="B21" s="2" t="str">
        <f>VLOOKUP(J21,LaserType!A$2:C$93,3)&amp;VLOOKUP(K21,BulletColor!A$2:E$25,5)</f>
        <v>普通曲线激光深绿</v>
      </c>
      <c r="C21" s="2" t="str">
        <f>VLOOKUP(J21,LaserType!A$2:G$92,2)&amp;L21</f>
        <v>CurveLaserMat000</v>
      </c>
      <c r="D21" s="1">
        <f t="shared" si="0"/>
        <v>9</v>
      </c>
      <c r="E21" s="1">
        <f>VLOOKUP(J21,LaserType!A$2:Z$92,8)</f>
        <v>16</v>
      </c>
      <c r="F21" s="2" t="str">
        <f>VLOOKUP(K21,BulletColor!A$2:E35,2)</f>
        <v>LaserHead_G0</v>
      </c>
      <c r="G21" s="1">
        <f>VLOOKUP(K21,BulletColor!A$2:E35,3)</f>
        <v>200090</v>
      </c>
      <c r="H21" s="1">
        <f>VLOOKUP(J21,LaserType!A$2:Z28,10)</f>
        <v>0</v>
      </c>
      <c r="I21" s="2" t="str">
        <f>VLOOKUP(K21,BulletColor!A$2:E35,4)</f>
        <v>0.36,0.78,1</v>
      </c>
      <c r="J21">
        <v>1</v>
      </c>
      <c r="K21">
        <v>9</v>
      </c>
      <c r="L21">
        <v>0</v>
      </c>
    </row>
    <row r="22" spans="1:12">
      <c r="A22" s="1">
        <f>VLOOKUP(J22,LaserType!A$2:G$92,5)*100000 + VALUE(J22)*1000 + VALUE(K22)*10 + VALUE(L22)</f>
        <v>401091</v>
      </c>
      <c r="B22" s="2" t="str">
        <f>VLOOKUP(J22,LaserType!A$2:C$93,3)&amp;VLOOKUP(K22,BulletColor!A$2:E$25,5)</f>
        <v>普通曲线激光深绿</v>
      </c>
      <c r="C22" s="2" t="str">
        <f>VLOOKUP(J22,LaserType!A$2:G$92,2)&amp;L22</f>
        <v>CurveLaserMat001</v>
      </c>
      <c r="D22" s="1">
        <f t="shared" si="0"/>
        <v>9</v>
      </c>
      <c r="E22" s="1">
        <f>VLOOKUP(J22,LaserType!A$2:Z$92,8)</f>
        <v>16</v>
      </c>
      <c r="F22" s="2" t="str">
        <f>VLOOKUP(K22,BulletColor!A$2:E36,2)</f>
        <v>LaserHead_G0</v>
      </c>
      <c r="G22" s="1">
        <f>VLOOKUP(K22,BulletColor!A$2:E36,3)</f>
        <v>200090</v>
      </c>
      <c r="H22" s="1">
        <f>VLOOKUP(J22,LaserType!A$2:Z29,10)</f>
        <v>0</v>
      </c>
      <c r="I22" s="2" t="str">
        <f>VLOOKUP(K22,BulletColor!A$2:E36,4)</f>
        <v>0.36,0.78,1</v>
      </c>
      <c r="J22">
        <v>1</v>
      </c>
      <c r="K22">
        <v>9</v>
      </c>
      <c r="L22">
        <v>1</v>
      </c>
    </row>
    <row r="23" spans="1:12">
      <c r="A23" s="1">
        <f>VLOOKUP(J23,LaserType!A$2:G$92,5)*100000 + VALUE(J23)*1000 + VALUE(K23)*10 + VALUE(L23)</f>
        <v>401100</v>
      </c>
      <c r="B23" s="2" t="str">
        <f>VLOOKUP(J23,LaserType!A$2:C$93,3)&amp;VLOOKUP(K23,BulletColor!A$2:E$25,5)</f>
        <v>普通曲线激光绿</v>
      </c>
      <c r="C23" s="2" t="str">
        <f>VLOOKUP(J23,LaserType!A$2:G$92,2)&amp;L23</f>
        <v>CurveLaserMat000</v>
      </c>
      <c r="D23" s="1">
        <f t="shared" si="0"/>
        <v>10</v>
      </c>
      <c r="E23" s="1">
        <f>VLOOKUP(J23,LaserType!A$2:Z$92,8)</f>
        <v>16</v>
      </c>
      <c r="F23" s="2" t="str">
        <f>VLOOKUP(K23,BulletColor!A$2:E37,2)</f>
        <v>LaserHead_G0</v>
      </c>
      <c r="G23" s="1">
        <f>VLOOKUP(K23,BulletColor!A$2:E37,3)</f>
        <v>200090</v>
      </c>
      <c r="H23" s="1">
        <f>VLOOKUP(J23,LaserType!A$2:Z30,10)</f>
        <v>0</v>
      </c>
      <c r="I23" s="2" t="str">
        <f>VLOOKUP(K23,BulletColor!A$2:E37,4)</f>
        <v>0.36,0.78,1</v>
      </c>
      <c r="J23">
        <v>1</v>
      </c>
      <c r="K23">
        <v>10</v>
      </c>
      <c r="L23">
        <v>0</v>
      </c>
    </row>
    <row r="24" spans="1:12">
      <c r="A24" s="1">
        <f>VLOOKUP(J24,LaserType!A$2:G$92,5)*100000 + VALUE(J24)*1000 + VALUE(K24)*10 + VALUE(L24)</f>
        <v>401101</v>
      </c>
      <c r="B24" s="2" t="str">
        <f>VLOOKUP(J24,LaserType!A$2:C$93,3)&amp;VLOOKUP(K24,BulletColor!A$2:E$25,5)</f>
        <v>普通曲线激光绿</v>
      </c>
      <c r="C24" s="2" t="str">
        <f>VLOOKUP(J24,LaserType!A$2:G$92,2)&amp;L24</f>
        <v>CurveLaserMat001</v>
      </c>
      <c r="D24" s="1">
        <f t="shared" si="0"/>
        <v>10</v>
      </c>
      <c r="E24" s="1">
        <f>VLOOKUP(J24,LaserType!A$2:Z$92,8)</f>
        <v>16</v>
      </c>
      <c r="F24" s="2" t="str">
        <f>VLOOKUP(K24,BulletColor!A$2:E38,2)</f>
        <v>LaserHead_G0</v>
      </c>
      <c r="G24" s="1">
        <f>VLOOKUP(K24,BulletColor!A$2:E38,3)</f>
        <v>200090</v>
      </c>
      <c r="H24" s="1">
        <f>VLOOKUP(J24,LaserType!A$2:Z31,10)</f>
        <v>0</v>
      </c>
      <c r="I24" s="2" t="str">
        <f>VLOOKUP(K24,BulletColor!A$2:E38,4)</f>
        <v>0.36,0.78,1</v>
      </c>
      <c r="J24">
        <v>1</v>
      </c>
      <c r="K24">
        <v>10</v>
      </c>
      <c r="L24">
        <v>1</v>
      </c>
    </row>
    <row r="25" spans="1:12">
      <c r="A25" s="1">
        <f>VLOOKUP(J25,LaserType!A$2:G$92,5)*100000 + VALUE(J25)*1000 + VALUE(K25)*10 + VALUE(L25)</f>
        <v>401110</v>
      </c>
      <c r="B25" s="2" t="str">
        <f>VLOOKUP(J25,LaserType!A$2:C$93,3)&amp;VLOOKUP(K25,BulletColor!A$2:E$25,5)</f>
        <v>普通曲线激光黄绿</v>
      </c>
      <c r="C25" s="2" t="str">
        <f>VLOOKUP(J25,LaserType!A$2:G$92,2)&amp;L25</f>
        <v>CurveLaserMat000</v>
      </c>
      <c r="D25" s="1">
        <f t="shared" si="0"/>
        <v>11</v>
      </c>
      <c r="E25" s="1">
        <f>VLOOKUP(J25,LaserType!A$2:Z$92,8)</f>
        <v>16</v>
      </c>
      <c r="F25" s="2" t="str">
        <f>VLOOKUP(K25,BulletColor!A$2:E39,2)</f>
        <v>LaserHead_G0</v>
      </c>
      <c r="G25" s="1">
        <f>VLOOKUP(K25,BulletColor!A$2:E39,3)</f>
        <v>200090</v>
      </c>
      <c r="H25" s="1">
        <f>VLOOKUP(J25,LaserType!A$2:Z32,10)</f>
        <v>0</v>
      </c>
      <c r="I25" s="2" t="str">
        <f>VLOOKUP(K25,BulletColor!A$2:E39,4)</f>
        <v>0.9,1,0.4</v>
      </c>
      <c r="J25">
        <v>1</v>
      </c>
      <c r="K25">
        <v>11</v>
      </c>
      <c r="L25">
        <v>0</v>
      </c>
    </row>
    <row r="26" spans="1:12">
      <c r="A26" s="1">
        <f>VLOOKUP(J26,LaserType!A$2:G$92,5)*100000 + VALUE(J26)*1000 + VALUE(K26)*10 + VALUE(L26)</f>
        <v>401111</v>
      </c>
      <c r="B26" s="2" t="str">
        <f>VLOOKUP(J26,LaserType!A$2:C$93,3)&amp;VLOOKUP(K26,BulletColor!A$2:E$25,5)</f>
        <v>普通曲线激光黄绿</v>
      </c>
      <c r="C26" s="2" t="str">
        <f>VLOOKUP(J26,LaserType!A$2:G$92,2)&amp;L26</f>
        <v>CurveLaserMat001</v>
      </c>
      <c r="D26" s="1">
        <f t="shared" si="0"/>
        <v>11</v>
      </c>
      <c r="E26" s="1">
        <f>VLOOKUP(J26,LaserType!A$2:Z$92,8)</f>
        <v>16</v>
      </c>
      <c r="F26" s="2" t="str">
        <f>VLOOKUP(K26,BulletColor!A$2:E40,2)</f>
        <v>LaserHead_G0</v>
      </c>
      <c r="G26" s="1">
        <f>VLOOKUP(K26,BulletColor!A$2:E40,3)</f>
        <v>200090</v>
      </c>
      <c r="H26" s="1">
        <f>VLOOKUP(J26,LaserType!A$2:Z33,10)</f>
        <v>0</v>
      </c>
      <c r="I26" s="2" t="str">
        <f>VLOOKUP(K26,BulletColor!A$2:E40,4)</f>
        <v>0.9,1,0.4</v>
      </c>
      <c r="J26">
        <v>1</v>
      </c>
      <c r="K26">
        <v>11</v>
      </c>
      <c r="L26">
        <v>1</v>
      </c>
    </row>
    <row r="27" spans="1:12">
      <c r="A27" s="1">
        <f>VLOOKUP(J27,LaserType!A$2:G$92,5)*100000 + VALUE(J27)*1000 + VALUE(K27)*10 + VALUE(L27)</f>
        <v>401120</v>
      </c>
      <c r="B27" s="2" t="str">
        <f>VLOOKUP(J27,LaserType!A$2:C$93,3)&amp;VLOOKUP(K27,BulletColor!A$2:E$25,5)</f>
        <v>普通曲线激光深黄</v>
      </c>
      <c r="C27" s="2" t="str">
        <f>VLOOKUP(J27,LaserType!A$2:G$92,2)&amp;L27</f>
        <v>CurveLaserMat000</v>
      </c>
      <c r="D27" s="1">
        <f t="shared" si="0"/>
        <v>12</v>
      </c>
      <c r="E27" s="1">
        <f>VLOOKUP(J27,LaserType!A$2:Z$92,8)</f>
        <v>16</v>
      </c>
      <c r="F27" s="2" t="str">
        <f>VLOOKUP(K27,BulletColor!A$2:E41,2)</f>
        <v>LaserHead_G0</v>
      </c>
      <c r="G27" s="1">
        <f>VLOOKUP(K27,BulletColor!A$2:E41,3)</f>
        <v>200090</v>
      </c>
      <c r="H27" s="1">
        <f>VLOOKUP(J27,LaserType!A$2:Z34,10)</f>
        <v>0</v>
      </c>
      <c r="I27" s="2" t="str">
        <f>VLOOKUP(K27,BulletColor!A$2:E41,4)</f>
        <v>0.9,1,0.4</v>
      </c>
      <c r="J27">
        <v>1</v>
      </c>
      <c r="K27">
        <v>12</v>
      </c>
      <c r="L27">
        <v>0</v>
      </c>
    </row>
    <row r="28" spans="1:12">
      <c r="A28" s="1">
        <f>VLOOKUP(J28,LaserType!A$2:G$92,5)*100000 + VALUE(J28)*1000 + VALUE(K28)*10 + VALUE(L28)</f>
        <v>401121</v>
      </c>
      <c r="B28" s="2" t="str">
        <f>VLOOKUP(J28,LaserType!A$2:C$93,3)&amp;VLOOKUP(K28,BulletColor!A$2:E$25,5)</f>
        <v>普通曲线激光深黄</v>
      </c>
      <c r="C28" s="2" t="str">
        <f>VLOOKUP(J28,LaserType!A$2:G$92,2)&amp;L28</f>
        <v>CurveLaserMat001</v>
      </c>
      <c r="D28" s="1">
        <f t="shared" si="0"/>
        <v>12</v>
      </c>
      <c r="E28" s="1">
        <f>VLOOKUP(J28,LaserType!A$2:Z$92,8)</f>
        <v>16</v>
      </c>
      <c r="F28" s="2" t="str">
        <f>VLOOKUP(K28,BulletColor!A$2:E42,2)</f>
        <v>LaserHead_G0</v>
      </c>
      <c r="G28" s="1">
        <f>VLOOKUP(K28,BulletColor!A$2:E42,3)</f>
        <v>200090</v>
      </c>
      <c r="H28" s="1">
        <f>VLOOKUP(J28,LaserType!A$2:Z35,10)</f>
        <v>0</v>
      </c>
      <c r="I28" s="2" t="str">
        <f>VLOOKUP(K28,BulletColor!A$2:E42,4)</f>
        <v>0.9,1,0.4</v>
      </c>
      <c r="J28">
        <v>1</v>
      </c>
      <c r="K28">
        <v>12</v>
      </c>
      <c r="L28">
        <v>1</v>
      </c>
    </row>
    <row r="29" spans="1:12">
      <c r="A29" s="1">
        <f>VLOOKUP(J29,LaserType!A$2:G$92,5)*100000 + VALUE(J29)*1000 + VALUE(K29)*10 + VALUE(L29)</f>
        <v>401130</v>
      </c>
      <c r="B29" s="2" t="str">
        <f>VLOOKUP(J29,LaserType!A$2:C$93,3)&amp;VLOOKUP(K29,BulletColor!A$2:E$25,5)</f>
        <v>普通曲线激光浅黄</v>
      </c>
      <c r="C29" s="2" t="str">
        <f>VLOOKUP(J29,LaserType!A$2:G$92,2)&amp;L29</f>
        <v>CurveLaserMat000</v>
      </c>
      <c r="D29" s="1">
        <f t="shared" si="0"/>
        <v>13</v>
      </c>
      <c r="E29" s="1">
        <f>VLOOKUP(J29,LaserType!A$2:Z$92,8)</f>
        <v>16</v>
      </c>
      <c r="F29" s="2" t="str">
        <f>VLOOKUP(K29,BulletColor!A$2:E43,2)</f>
        <v>LaserHead_G0</v>
      </c>
      <c r="G29" s="1">
        <f>VLOOKUP(K29,BulletColor!A$2:E43,3)</f>
        <v>200130</v>
      </c>
      <c r="H29" s="1">
        <f>VLOOKUP(J29,LaserType!A$2:Z36,10)</f>
        <v>0</v>
      </c>
      <c r="I29" s="2" t="str">
        <f>VLOOKUP(K29,BulletColor!A$2:E43,4)</f>
        <v>0.9,1,0.4</v>
      </c>
      <c r="J29">
        <v>1</v>
      </c>
      <c r="K29">
        <v>13</v>
      </c>
      <c r="L29">
        <v>0</v>
      </c>
    </row>
    <row r="30" spans="1:12">
      <c r="A30" s="1">
        <f>VLOOKUP(J30,LaserType!A$2:G$92,5)*100000 + VALUE(J30)*1000 + VALUE(K30)*10 + VALUE(L30)</f>
        <v>401131</v>
      </c>
      <c r="B30" s="2" t="str">
        <f>VLOOKUP(J30,LaserType!A$2:C$93,3)&amp;VLOOKUP(K30,BulletColor!A$2:E$25,5)</f>
        <v>普通曲线激光浅黄</v>
      </c>
      <c r="C30" s="2" t="str">
        <f>VLOOKUP(J30,LaserType!A$2:G$92,2)&amp;L30</f>
        <v>CurveLaserMat001</v>
      </c>
      <c r="D30" s="1">
        <f t="shared" si="0"/>
        <v>13</v>
      </c>
      <c r="E30" s="1">
        <f>VLOOKUP(J30,LaserType!A$2:Z$92,8)</f>
        <v>16</v>
      </c>
      <c r="F30" s="2" t="str">
        <f>VLOOKUP(K30,BulletColor!A$2:E44,2)</f>
        <v>LaserHead_G0</v>
      </c>
      <c r="G30" s="1">
        <f>VLOOKUP(K30,BulletColor!A$2:E44,3)</f>
        <v>200130</v>
      </c>
      <c r="H30" s="1">
        <f>VLOOKUP(J30,LaserType!A$2:Z37,10)</f>
        <v>0</v>
      </c>
      <c r="I30" s="2" t="str">
        <f>VLOOKUP(K30,BulletColor!A$2:E44,4)</f>
        <v>0.9,1,0.4</v>
      </c>
      <c r="J30">
        <v>1</v>
      </c>
      <c r="K30">
        <v>13</v>
      </c>
      <c r="L30">
        <v>1</v>
      </c>
    </row>
    <row r="31" spans="1:12">
      <c r="A31" s="1">
        <f>VLOOKUP(J31,LaserType!A$2:G$92,5)*100000 + VALUE(J31)*1000 + VALUE(K31)*10 + VALUE(L31)</f>
        <v>401140</v>
      </c>
      <c r="B31" s="2" t="str">
        <f>VLOOKUP(J31,LaserType!A$2:C$93,3)&amp;VLOOKUP(K31,BulletColor!A$2:E$25,5)</f>
        <v>普通曲线激光棕黄</v>
      </c>
      <c r="C31" s="2" t="str">
        <f>VLOOKUP(J31,LaserType!A$2:G$92,2)&amp;L31</f>
        <v>CurveLaserMat000</v>
      </c>
      <c r="D31" s="1">
        <f t="shared" si="0"/>
        <v>14</v>
      </c>
      <c r="E31" s="1">
        <f>VLOOKUP(J31,LaserType!A$2:Z$92,8)</f>
        <v>16</v>
      </c>
      <c r="F31" s="2" t="str">
        <f>VLOOKUP(K31,BulletColor!A$2:E45,2)</f>
        <v>LaserHead_G0</v>
      </c>
      <c r="G31" s="1">
        <f>VLOOKUP(K31,BulletColor!A$2:E45,3)</f>
        <v>200130</v>
      </c>
      <c r="H31" s="1">
        <f>VLOOKUP(J31,LaserType!A$2:Z38,10)</f>
        <v>0</v>
      </c>
      <c r="I31" s="2" t="str">
        <f>VLOOKUP(K31,BulletColor!A$2:E45,4)</f>
        <v>0.9,1,0.4</v>
      </c>
      <c r="J31">
        <v>1</v>
      </c>
      <c r="K31">
        <v>14</v>
      </c>
      <c r="L31">
        <v>0</v>
      </c>
    </row>
    <row r="32" spans="1:12">
      <c r="A32" s="1">
        <f>VLOOKUP(J32,LaserType!A$2:G$92,5)*100000 + VALUE(J32)*1000 + VALUE(K32)*10 + VALUE(L32)</f>
        <v>401141</v>
      </c>
      <c r="B32" s="2" t="str">
        <f>VLOOKUP(J32,LaserType!A$2:C$93,3)&amp;VLOOKUP(K32,BulletColor!A$2:E$25,5)</f>
        <v>普通曲线激光棕黄</v>
      </c>
      <c r="C32" s="2" t="str">
        <f>VLOOKUP(J32,LaserType!A$2:G$92,2)&amp;L32</f>
        <v>CurveLaserMat001</v>
      </c>
      <c r="D32" s="1">
        <f t="shared" si="0"/>
        <v>14</v>
      </c>
      <c r="E32" s="1">
        <f>VLOOKUP(J32,LaserType!A$2:Z$92,8)</f>
        <v>16</v>
      </c>
      <c r="F32" s="2" t="str">
        <f>VLOOKUP(K32,BulletColor!A$2:E46,2)</f>
        <v>LaserHead_G0</v>
      </c>
      <c r="G32" s="1">
        <f>VLOOKUP(K32,BulletColor!A$2:E46,3)</f>
        <v>200130</v>
      </c>
      <c r="H32" s="1">
        <f>VLOOKUP(J32,LaserType!A$2:Z39,10)</f>
        <v>0</v>
      </c>
      <c r="I32" s="2" t="str">
        <f>VLOOKUP(K32,BulletColor!A$2:E46,4)</f>
        <v>0.9,1,0.4</v>
      </c>
      <c r="J32">
        <v>1</v>
      </c>
      <c r="K32">
        <v>14</v>
      </c>
      <c r="L32">
        <v>1</v>
      </c>
    </row>
    <row r="33" spans="1:12">
      <c r="A33" s="1">
        <f>VLOOKUP(J33,LaserType!A$2:G$92,5)*100000 + VALUE(J33)*1000 + VALUE(K33)*10 + VALUE(L33)</f>
        <v>401150</v>
      </c>
      <c r="B33" s="2" t="str">
        <f>VLOOKUP(J33,LaserType!A$2:C$93,3)&amp;VLOOKUP(K33,BulletColor!A$2:E$25,5)</f>
        <v>普通曲线激光白</v>
      </c>
      <c r="C33" s="2" t="str">
        <f>VLOOKUP(J33,LaserType!A$2:G$92,2)&amp;L33</f>
        <v>CurveLaserMat000</v>
      </c>
      <c r="D33" s="1">
        <f t="shared" si="0"/>
        <v>15</v>
      </c>
      <c r="E33" s="1">
        <f>VLOOKUP(J33,LaserType!A$2:Z$92,8)</f>
        <v>16</v>
      </c>
      <c r="F33" s="2" t="str">
        <f>VLOOKUP(K33,BulletColor!A$2:E47,2)</f>
        <v>LaserHead_W0</v>
      </c>
      <c r="G33" s="1">
        <f>VLOOKUP(K33,BulletColor!A$2:E47,3)</f>
        <v>200150</v>
      </c>
      <c r="H33" s="1">
        <f>VLOOKUP(J33,LaserType!A$2:Z40,10)</f>
        <v>0</v>
      </c>
      <c r="I33" s="2" t="str">
        <f>VLOOKUP(K33,BulletColor!A$2:E47,4)</f>
        <v>0.8,0.8,0.8</v>
      </c>
      <c r="J33">
        <v>1</v>
      </c>
      <c r="K33">
        <v>15</v>
      </c>
      <c r="L33">
        <v>0</v>
      </c>
    </row>
    <row r="34" spans="1:12">
      <c r="A34" s="1">
        <f>VLOOKUP(J34,LaserType!A$2:G$92,5)*100000 + VALUE(J34)*1000 + VALUE(K34)*10 + VALUE(L34)</f>
        <v>401151</v>
      </c>
      <c r="B34" s="2" t="str">
        <f>VLOOKUP(J34,LaserType!A$2:C$93,3)&amp;VLOOKUP(K34,BulletColor!A$2:E$25,5)</f>
        <v>普通曲线激光白</v>
      </c>
      <c r="C34" s="2" t="str">
        <f>VLOOKUP(J34,LaserType!A$2:G$92,2)&amp;L34</f>
        <v>CurveLaserMat001</v>
      </c>
      <c r="D34" s="1">
        <f t="shared" si="0"/>
        <v>15</v>
      </c>
      <c r="E34" s="1">
        <f>VLOOKUP(J34,LaserType!A$2:Z$92,8)</f>
        <v>16</v>
      </c>
      <c r="F34" s="2" t="str">
        <f>VLOOKUP(K34,BulletColor!A$2:E48,2)</f>
        <v>LaserHead_W0</v>
      </c>
      <c r="G34" s="1">
        <f>VLOOKUP(K34,BulletColor!A$2:E48,3)</f>
        <v>200150</v>
      </c>
      <c r="H34" s="1">
        <f>VLOOKUP(J34,LaserType!A$2:Z41,10)</f>
        <v>0</v>
      </c>
      <c r="I34" s="2" t="str">
        <f>VLOOKUP(K34,BulletColor!A$2:E48,4)</f>
        <v>0.8,0.8,0.8</v>
      </c>
      <c r="J34">
        <v>1</v>
      </c>
      <c r="K34">
        <v>15</v>
      </c>
      <c r="L34">
        <v>1</v>
      </c>
    </row>
    <row r="35" spans="1:12">
      <c r="A35" s="1">
        <f>VLOOKUP(J35,LaserType!A$2:G$92,5)*100000 + VALUE(J35)*1000 + VALUE(K35)*10 + VALUE(L35)</f>
        <v>410000</v>
      </c>
      <c r="B35" s="2" t="str">
        <f>VLOOKUP(J35,LaserType!A$2:C$93,3)&amp;VLOOKUP(K35,BulletColor!A$2:E$25,5)</f>
        <v>动画曲线激光1灰</v>
      </c>
      <c r="C35" s="2" t="str">
        <f>VLOOKUP(J35,LaserType!A$2:G$92,2)&amp;L35</f>
        <v>CurveLaserMat100</v>
      </c>
      <c r="D35" s="1">
        <f>K35</f>
        <v>0</v>
      </c>
      <c r="E35" s="1">
        <f>VLOOKUP(J35,LaserType!A$2:Z$92,8)</f>
        <v>1</v>
      </c>
      <c r="F35" s="2" t="str">
        <f>VLOOKUP(K35,BulletColor!A$2:E49,2)</f>
        <v>LaserHead_W0</v>
      </c>
      <c r="G35" s="1">
        <f>VLOOKUP(K35,BulletColor!A$2:E49,3)</f>
        <v>200000</v>
      </c>
      <c r="H35" s="1">
        <f>VLOOKUP(J35,LaserType!A$2:Z42,10)</f>
        <v>4</v>
      </c>
      <c r="I35" s="2" t="str">
        <f>VLOOKUP(K35,BulletColor!A$2:E49,4)</f>
        <v>0.5,0.5,0.5</v>
      </c>
      <c r="J35" s="1">
        <v>10</v>
      </c>
      <c r="K35" s="1">
        <v>0</v>
      </c>
      <c r="L35" s="1">
        <v>0</v>
      </c>
    </row>
    <row r="36" spans="1:12">
      <c r="A36" s="1">
        <f>VLOOKUP(J36,LaserType!A$2:G$92,5)*100000 + VALUE(J36)*1000 + VALUE(K36)*10 + VALUE(L36)</f>
        <v>410001</v>
      </c>
      <c r="B36" s="2" t="str">
        <f>VLOOKUP(J36,LaserType!A$2:C$93,3)&amp;VLOOKUP(K36,BulletColor!A$2:E$25,5)</f>
        <v>动画曲线激光1灰</v>
      </c>
      <c r="C36" s="2" t="str">
        <f>VLOOKUP(J36,LaserType!A$2:G$92,2)&amp;L36</f>
        <v>CurveLaserMat101</v>
      </c>
      <c r="D36" s="1">
        <f>K36</f>
        <v>0</v>
      </c>
      <c r="E36" s="1">
        <f>VLOOKUP(J36,LaserType!A$2:Z$92,8)</f>
        <v>1</v>
      </c>
      <c r="F36" s="2" t="str">
        <f>VLOOKUP(K36,BulletColor!A$2:E50,2)</f>
        <v>LaserHead_W0</v>
      </c>
      <c r="G36" s="1">
        <f>VLOOKUP(K36,BulletColor!A$2:E50,3)</f>
        <v>200000</v>
      </c>
      <c r="H36" s="1">
        <f>VLOOKUP(J36,LaserType!A$2:Z43,10)</f>
        <v>4</v>
      </c>
      <c r="I36" s="2" t="str">
        <f>VLOOKUP(K36,BulletColor!A$2:E50,4)</f>
        <v>0.5,0.5,0.5</v>
      </c>
      <c r="J36" s="1">
        <v>10</v>
      </c>
      <c r="K36" s="1">
        <v>0</v>
      </c>
      <c r="L36" s="1">
        <v>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"/>
  <sheetViews>
    <sheetView workbookViewId="0">
      <selection activeCell="J3" sqref="J3"/>
    </sheetView>
  </sheetViews>
  <sheetFormatPr defaultRowHeight="13.5"/>
  <cols>
    <col min="1" max="1" width="13.375" customWidth="1"/>
    <col min="2" max="2" width="17.625" customWidth="1"/>
    <col min="3" max="3" width="19.875" customWidth="1"/>
    <col min="4" max="4" width="38.5" customWidth="1"/>
    <col min="5" max="5" width="23.125" customWidth="1"/>
    <col min="6" max="6" width="24.5" customWidth="1"/>
    <col min="7" max="7" width="19.25" customWidth="1"/>
    <col min="8" max="8" width="11.125" customWidth="1"/>
    <col min="9" max="9" width="39.25" customWidth="1"/>
  </cols>
  <sheetData>
    <row r="1" spans="1:10">
      <c r="A1" t="s">
        <v>2</v>
      </c>
      <c r="B1" t="s">
        <v>64</v>
      </c>
      <c r="C1" t="s">
        <v>32</v>
      </c>
      <c r="D1" t="s">
        <v>55</v>
      </c>
      <c r="E1" t="s">
        <v>51</v>
      </c>
      <c r="F1" t="s">
        <v>63</v>
      </c>
      <c r="G1" t="s">
        <v>53</v>
      </c>
      <c r="H1" t="s">
        <v>56</v>
      </c>
      <c r="I1" t="s">
        <v>57</v>
      </c>
      <c r="J1" t="s">
        <v>72</v>
      </c>
    </row>
    <row r="2" spans="1:10">
      <c r="A2">
        <v>1</v>
      </c>
      <c r="B2" t="s">
        <v>65</v>
      </c>
      <c r="C2" t="s">
        <v>62</v>
      </c>
      <c r="D2">
        <v>3</v>
      </c>
      <c r="E2">
        <f>VLOOKUP(D2,SuperPrefix!A$2:C$100,3)</f>
        <v>4</v>
      </c>
      <c r="F2" t="s">
        <v>70</v>
      </c>
      <c r="G2">
        <v>1</v>
      </c>
      <c r="H2">
        <v>16</v>
      </c>
      <c r="I2" t="s">
        <v>58</v>
      </c>
      <c r="J2">
        <v>0</v>
      </c>
    </row>
    <row r="3" spans="1:10">
      <c r="A3">
        <v>10</v>
      </c>
      <c r="B3" t="s">
        <v>68</v>
      </c>
      <c r="C3" t="s">
        <v>69</v>
      </c>
      <c r="D3">
        <v>3</v>
      </c>
      <c r="E3">
        <f>VLOOKUP(D3,SuperPrefix!A$2:C$100,3)</f>
        <v>4</v>
      </c>
      <c r="F3" t="s">
        <v>71</v>
      </c>
      <c r="G3">
        <v>10</v>
      </c>
      <c r="H3">
        <v>1</v>
      </c>
      <c r="I3">
        <v>0</v>
      </c>
      <c r="J3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7"/>
  <sheetViews>
    <sheetView workbookViewId="0">
      <selection activeCell="F1" sqref="F1"/>
    </sheetView>
  </sheetViews>
  <sheetFormatPr defaultRowHeight="13.5"/>
  <cols>
    <col min="1" max="3" width="19.125" customWidth="1"/>
    <col min="4" max="4" width="27.25" customWidth="1"/>
    <col min="5" max="5" width="39.875" customWidth="1"/>
    <col min="6" max="6" width="13.75" customWidth="1"/>
  </cols>
  <sheetData>
    <row r="1" spans="1:5">
      <c r="A1" t="s">
        <v>3</v>
      </c>
      <c r="B1" t="s">
        <v>33</v>
      </c>
      <c r="C1" t="s">
        <v>45</v>
      </c>
      <c r="D1" t="s">
        <v>4</v>
      </c>
      <c r="E1" t="s">
        <v>5</v>
      </c>
    </row>
    <row r="2" spans="1:5">
      <c r="A2">
        <v>0</v>
      </c>
      <c r="B2" t="s">
        <v>34</v>
      </c>
      <c r="C2">
        <v>200000</v>
      </c>
      <c r="D2" t="s">
        <v>6</v>
      </c>
      <c r="E2" t="s">
        <v>7</v>
      </c>
    </row>
    <row r="3" spans="1:5">
      <c r="A3">
        <v>1</v>
      </c>
      <c r="B3" t="s">
        <v>35</v>
      </c>
      <c r="C3">
        <v>200010</v>
      </c>
      <c r="D3" t="s">
        <v>8</v>
      </c>
      <c r="E3" t="s">
        <v>9</v>
      </c>
    </row>
    <row r="4" spans="1:5">
      <c r="A4">
        <v>2</v>
      </c>
      <c r="B4" t="s">
        <v>36</v>
      </c>
      <c r="C4">
        <v>200010</v>
      </c>
      <c r="D4" t="s">
        <v>10</v>
      </c>
      <c r="E4" t="s">
        <v>11</v>
      </c>
    </row>
    <row r="5" spans="1:5">
      <c r="A5">
        <v>3</v>
      </c>
      <c r="B5" t="s">
        <v>37</v>
      </c>
      <c r="C5">
        <v>200030</v>
      </c>
      <c r="D5" t="s">
        <v>12</v>
      </c>
      <c r="E5" t="s">
        <v>13</v>
      </c>
    </row>
    <row r="6" spans="1:5">
      <c r="A6">
        <v>4</v>
      </c>
      <c r="B6" t="s">
        <v>37</v>
      </c>
      <c r="C6">
        <v>200030</v>
      </c>
      <c r="D6" t="s">
        <v>12</v>
      </c>
      <c r="E6" t="s">
        <v>14</v>
      </c>
    </row>
    <row r="7" spans="1:5">
      <c r="A7">
        <v>5</v>
      </c>
      <c r="B7" t="s">
        <v>38</v>
      </c>
      <c r="C7">
        <v>200050</v>
      </c>
      <c r="D7" t="s">
        <v>15</v>
      </c>
      <c r="E7" t="s">
        <v>16</v>
      </c>
    </row>
    <row r="8" spans="1:5">
      <c r="A8">
        <v>6</v>
      </c>
      <c r="B8" t="s">
        <v>39</v>
      </c>
      <c r="C8">
        <v>200050</v>
      </c>
      <c r="D8" t="s">
        <v>15</v>
      </c>
      <c r="E8" t="s">
        <v>17</v>
      </c>
    </row>
    <row r="9" spans="1:5">
      <c r="A9">
        <v>7</v>
      </c>
      <c r="B9" t="s">
        <v>40</v>
      </c>
      <c r="C9">
        <v>200070</v>
      </c>
      <c r="D9" t="s">
        <v>18</v>
      </c>
      <c r="E9" t="s">
        <v>19</v>
      </c>
    </row>
    <row r="10" spans="1:5">
      <c r="A10">
        <v>8</v>
      </c>
      <c r="B10" t="s">
        <v>41</v>
      </c>
      <c r="C10">
        <v>200070</v>
      </c>
      <c r="D10" t="s">
        <v>18</v>
      </c>
      <c r="E10" t="s">
        <v>20</v>
      </c>
    </row>
    <row r="11" spans="1:5">
      <c r="A11">
        <v>9</v>
      </c>
      <c r="B11" t="s">
        <v>42</v>
      </c>
      <c r="C11">
        <v>200090</v>
      </c>
      <c r="D11" t="s">
        <v>21</v>
      </c>
      <c r="E11" t="s">
        <v>22</v>
      </c>
    </row>
    <row r="12" spans="1:5">
      <c r="A12">
        <v>10</v>
      </c>
      <c r="B12" t="s">
        <v>43</v>
      </c>
      <c r="C12">
        <v>200090</v>
      </c>
      <c r="D12" t="s">
        <v>21</v>
      </c>
      <c r="E12" t="s">
        <v>23</v>
      </c>
    </row>
    <row r="13" spans="1:5">
      <c r="A13">
        <v>11</v>
      </c>
      <c r="B13" t="s">
        <v>41</v>
      </c>
      <c r="C13">
        <v>200090</v>
      </c>
      <c r="D13" t="s">
        <v>24</v>
      </c>
      <c r="E13" t="s">
        <v>25</v>
      </c>
    </row>
    <row r="14" spans="1:5">
      <c r="A14">
        <v>12</v>
      </c>
      <c r="B14" t="s">
        <v>40</v>
      </c>
      <c r="C14">
        <v>200090</v>
      </c>
      <c r="D14" t="s">
        <v>24</v>
      </c>
      <c r="E14" t="s">
        <v>26</v>
      </c>
    </row>
    <row r="15" spans="1:5">
      <c r="A15">
        <v>13</v>
      </c>
      <c r="B15" t="s">
        <v>41</v>
      </c>
      <c r="C15">
        <v>200130</v>
      </c>
      <c r="D15" t="s">
        <v>24</v>
      </c>
      <c r="E15" t="s">
        <v>27</v>
      </c>
    </row>
    <row r="16" spans="1:5">
      <c r="A16">
        <v>14</v>
      </c>
      <c r="B16" t="s">
        <v>41</v>
      </c>
      <c r="C16">
        <v>200130</v>
      </c>
      <c r="D16" t="s">
        <v>24</v>
      </c>
      <c r="E16" t="s">
        <v>28</v>
      </c>
    </row>
    <row r="17" spans="1:5">
      <c r="A17">
        <v>15</v>
      </c>
      <c r="B17" t="s">
        <v>34</v>
      </c>
      <c r="C17">
        <v>200150</v>
      </c>
      <c r="D17" t="s">
        <v>29</v>
      </c>
      <c r="E17" t="s">
        <v>30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C4" sqref="C4"/>
    </sheetView>
  </sheetViews>
  <sheetFormatPr defaultRowHeight="13.5"/>
  <cols>
    <col min="1" max="1" width="24.5" customWidth="1"/>
    <col min="2" max="2" width="28.625" customWidth="1"/>
    <col min="3" max="3" width="25.625" customWidth="1"/>
  </cols>
  <sheetData>
    <row r="1" spans="1:3">
      <c r="A1" t="s">
        <v>47</v>
      </c>
      <c r="B1" t="s">
        <v>48</v>
      </c>
      <c r="C1" t="s">
        <v>52</v>
      </c>
    </row>
    <row r="2" spans="1:3">
      <c r="A2">
        <v>1</v>
      </c>
      <c r="B2" t="s">
        <v>49</v>
      </c>
      <c r="C2">
        <v>2</v>
      </c>
    </row>
    <row r="3" spans="1:3">
      <c r="A3">
        <v>2</v>
      </c>
      <c r="B3" t="s">
        <v>50</v>
      </c>
      <c r="C3">
        <v>3</v>
      </c>
    </row>
    <row r="4" spans="1:3">
      <c r="A4">
        <v>3</v>
      </c>
      <c r="B4" t="s">
        <v>59</v>
      </c>
      <c r="C4">
        <v>4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CurveLaser</vt:lpstr>
      <vt:lpstr>LaserType</vt:lpstr>
      <vt:lpstr>BulletColor</vt:lpstr>
      <vt:lpstr>SuperPrefix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LostTemple</cp:lastModifiedBy>
  <dcterms:created xsi:type="dcterms:W3CDTF">2018-10-09T10:02:07Z</dcterms:created>
  <dcterms:modified xsi:type="dcterms:W3CDTF">2019-11-30T10:38:33Z</dcterms:modified>
</cp:coreProperties>
</file>